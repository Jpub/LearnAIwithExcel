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6155" windowHeight="7830"/>
  </bookViews>
  <sheets>
    <sheet name="추적 문제" sheetId="4" r:id="rId1"/>
  </sheets>
  <functionGroups builtInGroupCount="17"/>
  <calcPr calcId="145621"/>
</workbook>
</file>

<file path=xl/calcChain.xml><?xml version="1.0" encoding="utf-8"?>
<calcChain xmlns="http://schemas.openxmlformats.org/spreadsheetml/2006/main">
  <c r="AE77" i="4" l="1"/>
  <c r="AF77" i="4"/>
  <c r="AC41" i="4"/>
  <c r="AE33" i="4" s="1"/>
  <c r="AE34" i="4" l="1"/>
  <c r="AE40" i="4"/>
  <c r="AE38" i="4"/>
  <c r="AE31" i="4"/>
  <c r="AE37" i="4"/>
  <c r="AE36" i="4"/>
  <c r="AE32" i="4"/>
  <c r="AE39" i="4"/>
  <c r="AE35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C77" i="4"/>
  <c r="AE41" i="4" l="1"/>
  <c r="AF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C88" i="4"/>
</calcChain>
</file>

<file path=xl/sharedStrings.xml><?xml version="1.0" encoding="utf-8"?>
<sst xmlns="http://schemas.openxmlformats.org/spreadsheetml/2006/main" count="77" uniqueCount="65">
  <si>
    <t xml:space="preserve">Copyright© 2015　ASAI Noboru
</t>
    <phoneticPr fontId="1"/>
  </si>
  <si>
    <t>A.</t>
    <phoneticPr fontId="1"/>
  </si>
  <si>
    <t>B.</t>
    <phoneticPr fontId="1"/>
  </si>
  <si>
    <t>C.</t>
    <phoneticPr fontId="1"/>
  </si>
  <si>
    <t>D.</t>
    <phoneticPr fontId="1"/>
  </si>
  <si>
    <t>a.</t>
    <phoneticPr fontId="1"/>
  </si>
  <si>
    <t>b.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</si>
  <si>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</si>
  <si>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</si>
  <si>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</si>
  <si>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</si>
  <si>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</si>
  <si>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Max</t>
    <phoneticPr fontId="1"/>
  </si>
  <si>
    <t>・</t>
    <phoneticPr fontId="1"/>
  </si>
  <si>
    <t>Step</t>
    <phoneticPr fontId="1"/>
  </si>
  <si>
    <t>by</t>
    <phoneticPr fontId="1"/>
  </si>
  <si>
    <t>Ex.11 추적 문제</t>
    <rPh sb="6" eb="8">
      <t>ツイセキ</t>
    </rPh>
    <rPh sb="8" eb="10">
      <t>モンダイ</t>
    </rPh>
    <phoneticPr fontId="1"/>
  </si>
  <si>
    <t>경찰1</t>
  </si>
  <si>
    <t>경찰2</t>
  </si>
  <si>
    <t>경찰3</t>
  </si>
  <si>
    <t>경찰4</t>
  </si>
  <si>
    <t>경찰5</t>
  </si>
  <si>
    <t>경찰6</t>
  </si>
  <si>
    <t>경찰7</t>
  </si>
  <si>
    <t>경찰</t>
  </si>
  <si>
    <t>경찰8</t>
  </si>
  <si>
    <t>경찰9</t>
  </si>
  <si>
    <t>경찰10</t>
  </si>
  <si>
    <t>평가값 이력</t>
    <rPh sb="0" eb="2">
      <t>ヒョウカ</t>
    </rPh>
    <rPh sb="2" eb="3">
      <t>チ</t>
    </rPh>
    <rPh sb="3" eb="5">
      <t>リレキ</t>
    </rPh>
    <phoneticPr fontId="1"/>
  </si>
  <si>
    <t>횟수</t>
    <phoneticPr fontId="1"/>
  </si>
  <si>
    <t>합계</t>
    <rPh sb="0" eb="2">
      <t>ゴウケイ</t>
    </rPh>
    <phoneticPr fontId="1"/>
  </si>
  <si>
    <t>경찰의 수</t>
    <phoneticPr fontId="1"/>
  </si>
  <si>
    <t>결과</t>
    <rPh sb="0" eb="2">
      <t>ケッカ</t>
    </rPh>
    <phoneticPr fontId="1"/>
  </si>
  <si>
    <t>추적 횟수</t>
    <rPh sb="0" eb="2">
      <t>ツイセキ</t>
    </rPh>
    <phoneticPr fontId="1"/>
  </si>
  <si>
    <t>범인</t>
    <rPh sb="0" eb="2">
      <t>ハンニン</t>
    </rPh>
    <phoneticPr fontId="1"/>
  </si>
  <si>
    <t>현위치</t>
    <rPh sb="0" eb="1">
      <t>ゲン</t>
    </rPh>
    <rPh sb="1" eb="3">
      <t>イチ</t>
    </rPh>
    <phoneticPr fontId="1"/>
  </si>
  <si>
    <t>세로</t>
    <rPh sb="0" eb="1">
      <t>タテ</t>
    </rPh>
    <phoneticPr fontId="1"/>
  </si>
  <si>
    <t>가로</t>
    <rPh sb="0" eb="1">
      <t>ヨコ</t>
    </rPh>
    <phoneticPr fontId="1"/>
  </si>
  <si>
    <t>4분면</t>
    <rPh sb="1" eb="2">
      <t>ブン</t>
    </rPh>
    <rPh sb="2" eb="3">
      <t>イキ</t>
    </rPh>
    <phoneticPr fontId="1"/>
  </si>
  <si>
    <t>평가값</t>
    <phoneticPr fontId="1"/>
  </si>
  <si>
    <t>효율</t>
    <rPh sb="0" eb="2">
      <t>コウリツ</t>
    </rPh>
    <phoneticPr fontId="1"/>
  </si>
  <si>
    <t>범인</t>
  </si>
  <si>
    <t>문제 내용</t>
    <rPh sb="0" eb="2">
      <t>モンダイ</t>
    </rPh>
    <rPh sb="2" eb="4">
      <t>ナイヨウ</t>
    </rPh>
    <phoneticPr fontId="1"/>
  </si>
  <si>
    <t>범인의 이동 방법</t>
    <rPh sb="0" eb="2">
      <t>ハンニン</t>
    </rPh>
    <rPh sb="3" eb="4">
      <t>ウゴ</t>
    </rPh>
    <rPh sb="5" eb="6">
      <t>カタ</t>
    </rPh>
    <phoneticPr fontId="1"/>
  </si>
  <si>
    <t>경찰의 이동 방법</t>
    <phoneticPr fontId="1"/>
  </si>
  <si>
    <t>평가값</t>
    <rPh sb="0" eb="2">
      <t>ヒョウカ</t>
    </rPh>
    <rPh sb="2" eb="3">
      <t>チ</t>
    </rPh>
    <phoneticPr fontId="1"/>
  </si>
  <si>
    <t>실행 순서</t>
    <rPh sb="0" eb="2">
      <t>ジッコウ</t>
    </rPh>
    <rPh sb="2" eb="4">
      <t>テジュン</t>
    </rPh>
    <phoneticPr fontId="1"/>
  </si>
  <si>
    <t>경찰도 범인도 서로의 위치를 알고 있는 것으로 한다.</t>
    <phoneticPr fontId="1"/>
  </si>
  <si>
    <t>경찰의 위치를 알고 계획적으로 이동한다.</t>
    <phoneticPr fontId="1"/>
  </si>
  <si>
    <t>Cas：각자가 다른 경찰의 위치를 인식하면서 범인에 가까워지도록 독립적으로 이동한다.</t>
    <rPh sb="4" eb="6">
      <t>カクジ</t>
    </rPh>
    <rPh sb="7" eb="8">
      <t>タ</t>
    </rPh>
    <phoneticPr fontId="1"/>
  </si>
  <si>
    <t>Nas：각자가 다른 경찰과 의논하면서 전체적으로 최적이 되도록 협조하며 이동한다.</t>
    <rPh sb="4" eb="6">
      <t>カクジ</t>
    </rPh>
    <rPh sb="7" eb="8">
      <t>タ</t>
    </rPh>
    <phoneticPr fontId="1"/>
  </si>
  <si>
    <t>CLAs：각자는 보스의 지시에 따라 통제를 받으며 이동한다.</t>
    <rPh sb="5" eb="7">
      <t>カクジ</t>
    </rPh>
    <rPh sb="11" eb="13">
      <t>シジ</t>
    </rPh>
    <rPh sb="14" eb="15">
      <t>シタガ</t>
    </rPh>
    <rPh sb="18" eb="21">
      <t>トウセイテキ</t>
    </rPh>
    <rPh sb="22" eb="23">
      <t>ウゴ</t>
    </rPh>
    <phoneticPr fontId="1"/>
  </si>
  <si>
    <t>추적 실행 중에는 상황이 아래 테두리 내에 표시된다.</t>
    <rPh sb="0" eb="2">
      <t>ツイセキ</t>
    </rPh>
    <rPh sb="2" eb="4">
      <t>ジッコウ</t>
    </rPh>
    <rPh sb="4" eb="5">
      <t>チュウ</t>
    </rPh>
    <rPh sb="7" eb="9">
      <t>ジョウキョウ</t>
    </rPh>
    <rPh sb="10" eb="12">
      <t>カキ</t>
    </rPh>
    <rPh sb="12" eb="14">
      <t>ワクナイ</t>
    </rPh>
    <rPh sb="15" eb="17">
      <t>ヒョウジ</t>
    </rPh>
    <phoneticPr fontId="1"/>
  </si>
  <si>
    <t>추적이 종료(체포, 도망, 또는 Max 횟수가 되는 시점)되면 횟수마다 평가값의 변동 그래프를 보여준다.</t>
    <rPh sb="0" eb="2">
      <t>ツイセキ</t>
    </rPh>
    <rPh sb="2" eb="4">
      <t>シュウリョウ</t>
    </rPh>
    <rPh sb="5" eb="7">
      <t>タイホ</t>
    </rPh>
    <rPh sb="8" eb="10">
      <t>トウボウ</t>
    </rPh>
    <rPh sb="17" eb="18">
      <t>カイ</t>
    </rPh>
    <rPh sb="18" eb="19">
      <t>ウゴ</t>
    </rPh>
    <rPh sb="21" eb="23">
      <t>ジテン</t>
    </rPh>
    <phoneticPr fontId="1"/>
  </si>
  <si>
    <t>범인과 경찰의 이동 방법을 버튼으로 선택한다(매번 반드시 누를 것). 경찰의 수를 입력한다(default : 6명).</t>
    <rPh sb="0" eb="2">
      <t>ハンニン</t>
    </rPh>
    <phoneticPr fontId="1"/>
  </si>
  <si>
    <t>몇 명의 경찰이 범인을 뒤쫓아간다. 경찰이 한 명이라도 범인을 따라 잡으면 체포, 범인이 테두리 밖으로 나가면 도망.</t>
    <rPh sb="0" eb="2">
      <t>ナンニン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</si>
  <si>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초기화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 범인과 경찰의 위치가 표시된다. 테두리 내에 직접 입력하여 위치를 변경한 후에는 </t>
    </r>
    <r>
      <rPr>
        <b/>
        <sz val="10"/>
        <color rgb="FF0000FF"/>
        <rFont val="맑은 고딕"/>
        <family val="3"/>
        <charset val="129"/>
        <scheme val="minor"/>
      </rPr>
      <t xml:space="preserve">재설정 </t>
    </r>
    <r>
      <rPr>
        <sz val="10"/>
        <color rgb="FF0000FF"/>
        <rFont val="맑은 고딕"/>
        <family val="3"/>
        <charset val="129"/>
        <scheme val="minor"/>
      </rPr>
      <t>버튼</t>
    </r>
    <r>
      <rPr>
        <sz val="10"/>
        <color theme="1"/>
        <rFont val="맑은 고딕"/>
        <family val="3"/>
        <charset val="128"/>
        <scheme val="minor"/>
      </rPr>
      <t>을 누른다.</t>
    </r>
    <rPh sb="1" eb="4">
      <t>ショキカ</t>
    </rPh>
    <rPh sb="9" eb="10">
      <t>オ</t>
    </rPh>
    <rPh sb="13" eb="15">
      <t>ハンニン</t>
    </rPh>
    <phoneticPr fontId="1"/>
  </si>
  <si>
    <t>경찰 누군가의 간격이 0(범인과 동일한 칸)이 되면 종료된다(체포 상태).</t>
    <rPh sb="10" eb="11">
      <t>オワ</t>
    </rPh>
    <rPh sb="14" eb="16">
      <t>タイホ</t>
    </rPh>
    <rPh sb="16" eb="18">
      <t>ジョウタイ</t>
    </rPh>
    <phoneticPr fontId="1"/>
  </si>
  <si>
    <t>범인과 경찰은 1번에 1칸씩(변경 가능) 가로나 세로로 이동한다. 경찰이 범인과 같은 칸에 오면 체포한 것으로 한다.</t>
    <rPh sb="0" eb="2">
      <t>ハンニン</t>
    </rPh>
    <phoneticPr fontId="1"/>
  </si>
  <si>
    <t>계획 없이 이동한다.</t>
    <rPh sb="0" eb="3">
      <t>ムケイカク</t>
    </rPh>
    <rPh sb="4" eb="5">
      <t>ウゴ</t>
    </rPh>
    <phoneticPr fontId="1"/>
  </si>
  <si>
    <t>각자 마음대로 자신이 범인에게 가까워지도록 이동한다(다른 경찰의 위치를 신경 쓰지 않는다).</t>
    <rPh sb="0" eb="2">
      <t>カクジ</t>
    </rPh>
    <rPh sb="3" eb="5">
      <t>カッテ</t>
    </rPh>
    <rPh sb="6" eb="8">
      <t>ジブン</t>
    </rPh>
    <rPh sb="9" eb="11">
      <t>ハンニン</t>
    </rPh>
    <rPh sb="12" eb="13">
      <t>チカ</t>
    </rPh>
    <rPh sb="18" eb="19">
      <t>ウゴ</t>
    </rPh>
    <rPh sb="21" eb="22">
      <t>タ</t>
    </rPh>
    <phoneticPr fontId="1"/>
  </si>
  <si>
    <t>한 번 이동할 때마다 각 경찰과 범인 사이의 간격(가로, 세로 칸수의 합) 합계를 계산한다.</t>
    <rPh sb="0" eb="2">
      <t>イッカイ</t>
    </rPh>
    <rPh sb="2" eb="3">
      <t>ウゴ</t>
    </rPh>
    <rPh sb="8" eb="9">
      <t>カク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</si>
  <si>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추적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추적이 시작된다. </t>
    </r>
    <r>
      <rPr>
        <sz val="10"/>
        <color rgb="FF0000FF"/>
        <rFont val="맑은 고딕"/>
        <family val="3"/>
        <charset val="129"/>
        <scheme val="minor"/>
      </rPr>
      <t>[Step] 칸</t>
    </r>
    <r>
      <rPr>
        <sz val="10"/>
        <color theme="1"/>
        <rFont val="맑은 고딕"/>
        <family val="3"/>
        <charset val="128"/>
        <scheme val="minor"/>
      </rPr>
      <t>이 0이면 연속 실행, n이면 n번 이동한 후 멈춘다.</t>
    </r>
    <rPh sb="1" eb="3">
      <t>ツイセキ</t>
    </rPh>
    <rPh sb="8" eb="9">
      <t>オ</t>
    </rPh>
    <rPh sb="12" eb="14">
      <t>ツイセキ</t>
    </rPh>
    <rPh sb="15" eb="16">
      <t>ハジ</t>
    </rPh>
    <rPh sb="36" eb="38">
      <t>レンゾク</t>
    </rPh>
    <rPh sb="38" eb="40">
      <t>ジッコウ</t>
    </rPh>
    <rPh sb="48" eb="49">
      <t>カイ</t>
    </rPh>
    <rPh sb="49" eb="50">
      <t>ウゴ</t>
    </rPh>
    <rPh sb="54" eb="55">
      <t>ト</t>
    </rPh>
    <phoneticPr fontId="1"/>
  </si>
  <si>
    <t>이동 칸 수</t>
    <rPh sb="0" eb="2">
      <t>イドウ</t>
    </rPh>
    <rPh sb="4" eb="5">
      <t>スウ</t>
    </rPh>
    <phoneticPr fontId="1"/>
  </si>
  <si>
    <t>경찰 합계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</si>
</sst>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0_ "/>
    <numFmt numFmtId="178" formatCode="0.00_);[Red]\(0.00\)"/>
  </numFmts>
  <fonts count="13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9"/>
      <color rgb="FF000000"/>
      <name val="MS UI Gothic"/>
      <family val="2"/>
      <charset val="128"/>
    </font>
    <font>
      <sz val="9"/>
      <color rgb="FF000000"/>
      <name val="맑은 고딕"/>
      <family val="3"/>
      <charset val="129"/>
    </font>
    <font>
      <b/>
      <sz val="11"/>
      <color rgb="FF0000FF"/>
      <name val="맑은 고딕"/>
      <family val="3"/>
      <charset val="129"/>
    </font>
    <font>
      <b/>
      <sz val="10"/>
      <color rgb="FF0000FF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Up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Up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Alignment="1">
      <alignment horizontal="right" vertical="center"/>
    </xf>
    <xf numFmtId="0" fontId="4" fillId="0" borderId="3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3" fillId="0" borderId="1" xfId="0" applyFont="1" applyBorder="1">
      <alignment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>
      <alignment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0" borderId="24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4" fillId="4" borderId="1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176" fontId="4" fillId="0" borderId="2" xfId="0" applyNumberFormat="1" applyFont="1" applyBorder="1" applyAlignment="1">
      <alignment vertical="center"/>
    </xf>
    <xf numFmtId="178" fontId="3" fillId="0" borderId="2" xfId="0" applyNumberFormat="1" applyFont="1" applyBorder="1" applyAlignment="1">
      <alignment vertical="center"/>
    </xf>
    <xf numFmtId="178" fontId="3" fillId="0" borderId="3" xfId="0" applyNumberFormat="1" applyFont="1" applyBorder="1" applyAlignment="1">
      <alignment vertical="center"/>
    </xf>
    <xf numFmtId="176" fontId="0" fillId="0" borderId="4" xfId="0" applyNumberFormat="1" applyBorder="1" applyAlignment="1">
      <alignment vertical="center"/>
    </xf>
    <xf numFmtId="176" fontId="0" fillId="0" borderId="3" xfId="0" applyNumberForma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177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176" fontId="4" fillId="0" borderId="15" xfId="0" applyNumberFormat="1" applyFont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'추적 문제'!$A$78</c:f>
              <c:strCache>
                <c:ptCount val="1"/>
                <c:pt idx="0">
                  <c:v>경찰1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문제'!$C$78:$AF$78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1"/>
          <c:order val="1"/>
          <c:tx>
            <c:strRef>
              <c:f>'추적 문제'!$A$79</c:f>
              <c:strCache>
                <c:ptCount val="1"/>
                <c:pt idx="0">
                  <c:v>경찰2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문제'!$C$79:$AF$79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2"/>
          <c:order val="2"/>
          <c:tx>
            <c:strRef>
              <c:f>'추적 문제'!$A$80</c:f>
              <c:strCache>
                <c:ptCount val="1"/>
                <c:pt idx="0">
                  <c:v>경찰3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문제'!$C$80:$AF$80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3"/>
          <c:order val="3"/>
          <c:tx>
            <c:strRef>
              <c:f>'추적 문제'!$A$81</c:f>
              <c:strCache>
                <c:ptCount val="1"/>
                <c:pt idx="0">
                  <c:v>경찰4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문제'!$C$81:$AF$81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4"/>
          <c:order val="4"/>
          <c:tx>
            <c:strRef>
              <c:f>'추적 문제'!$A$82</c:f>
              <c:strCache>
                <c:ptCount val="1"/>
                <c:pt idx="0">
                  <c:v>경찰5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문제'!$C$82:$AF$82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5"/>
          <c:order val="5"/>
          <c:tx>
            <c:strRef>
              <c:f>'추적 문제'!$A$83</c:f>
              <c:strCache>
                <c:ptCount val="1"/>
                <c:pt idx="0">
                  <c:v>경찰6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문제'!$C$83:$AF$83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6"/>
          <c:order val="6"/>
          <c:tx>
            <c:strRef>
              <c:f>'추적 문제'!$A$84</c:f>
              <c:strCache>
                <c:ptCount val="1"/>
                <c:pt idx="0">
                  <c:v>경찰7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문제'!$C$84:$AF$84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7"/>
          <c:order val="7"/>
          <c:tx>
            <c:strRef>
              <c:f>'추적 문제'!$A$85</c:f>
              <c:strCache>
                <c:ptCount val="1"/>
                <c:pt idx="0">
                  <c:v>경찰8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문제'!$C$85:$AF$85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8"/>
          <c:order val="8"/>
          <c:tx>
            <c:strRef>
              <c:f>'추적 문제'!$A$86</c:f>
              <c:strCache>
                <c:ptCount val="1"/>
                <c:pt idx="0">
                  <c:v>경찰9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문제'!$C$86:$AF$86</c:f>
              <c:numCache>
                <c:formatCode>General</c:formatCode>
                <c:ptCount val="30"/>
              </c:numCache>
            </c:numRef>
          </c:val>
          <c:smooth val="0"/>
        </c:ser>
        <c:ser>
          <c:idx val="9"/>
          <c:order val="9"/>
          <c:tx>
            <c:strRef>
              <c:f>'추적 문제'!$A$87</c:f>
              <c:strCache>
                <c:ptCount val="1"/>
                <c:pt idx="0">
                  <c:v>경찰10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문제'!$C$87:$AF$87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155904"/>
        <c:axId val="92157440"/>
      </c:lineChart>
      <c:catAx>
        <c:axId val="9215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92157440"/>
        <c:crosses val="autoZero"/>
        <c:auto val="1"/>
        <c:lblAlgn val="ctr"/>
        <c:lblOffset val="100"/>
        <c:noMultiLvlLbl val="0"/>
      </c:catAx>
      <c:valAx>
        <c:axId val="9215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9215590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133350</xdr:rowOff>
        </xdr:from>
        <xdr:to>
          <xdr:col>7</xdr:col>
          <xdr:colOff>57150</xdr:colOff>
          <xdr:row>30</xdr:row>
          <xdr:rowOff>123825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 없이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9525</xdr:rowOff>
        </xdr:from>
        <xdr:to>
          <xdr:col>7</xdr:col>
          <xdr:colOff>57150</xdr:colOff>
          <xdr:row>32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계획적으로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29</xdr:row>
          <xdr:rowOff>9525</xdr:rowOff>
        </xdr:from>
        <xdr:to>
          <xdr:col>7</xdr:col>
          <xdr:colOff>142875</xdr:colOff>
          <xdr:row>32</xdr:row>
          <xdr:rowOff>57150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범인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34</xdr:row>
          <xdr:rowOff>19050</xdr:rowOff>
        </xdr:from>
        <xdr:to>
          <xdr:col>7</xdr:col>
          <xdr:colOff>142875</xdr:colOff>
          <xdr:row>39</xdr:row>
          <xdr:rowOff>28575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경찰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7</xdr:col>
          <xdr:colOff>66675</xdr:colOff>
          <xdr:row>35</xdr:row>
          <xdr:rowOff>161925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각자 마음대로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7</xdr:col>
          <xdr:colOff>66675</xdr:colOff>
          <xdr:row>36</xdr:row>
          <xdr:rowOff>161925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7</xdr:col>
          <xdr:colOff>66675</xdr:colOff>
          <xdr:row>37</xdr:row>
          <xdr:rowOff>161925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7</xdr:col>
          <xdr:colOff>66675</xdr:colOff>
          <xdr:row>38</xdr:row>
          <xdr:rowOff>161925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29</xdr:row>
          <xdr:rowOff>0</xdr:rowOff>
        </xdr:from>
        <xdr:to>
          <xdr:col>17</xdr:col>
          <xdr:colOff>104775</xdr:colOff>
          <xdr:row>30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33</xdr:row>
          <xdr:rowOff>28575</xdr:rowOff>
        </xdr:from>
        <xdr:to>
          <xdr:col>17</xdr:col>
          <xdr:colOff>104775</xdr:colOff>
          <xdr:row>34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추적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31</xdr:row>
          <xdr:rowOff>0</xdr:rowOff>
        </xdr:from>
        <xdr:to>
          <xdr:col>17</xdr:col>
          <xdr:colOff>104775</xdr:colOff>
          <xdr:row>32</xdr:row>
          <xdr:rowOff>47625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재설정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23812</xdr:colOff>
      <xdr:row>89</xdr:row>
      <xdr:rowOff>28575</xdr:rowOff>
    </xdr:from>
    <xdr:to>
      <xdr:col>34</xdr:col>
      <xdr:colOff>142875</xdr:colOff>
      <xdr:row>107</xdr:row>
      <xdr:rowOff>28575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90"/>
  <sheetViews>
    <sheetView tabSelected="1" topLeftCell="A100" zoomScale="145" zoomScaleNormal="145" workbookViewId="0">
      <selection activeCell="AB42" sqref="AB42"/>
    </sheetView>
  </sheetViews>
  <sheetFormatPr defaultRowHeight="13.5" x14ac:dyDescent="0.3"/>
  <cols>
    <col min="1" max="1" width="2.75" style="2" customWidth="1"/>
    <col min="2" max="31" width="2.5" style="2" customWidth="1"/>
    <col min="32" max="35" width="2.875" style="2" customWidth="1"/>
    <col min="36" max="16384" width="9" style="2"/>
  </cols>
  <sheetData>
    <row r="1" spans="1:9" ht="17.25" x14ac:dyDescent="0.3">
      <c r="A1" s="1" t="s">
        <v>16</v>
      </c>
      <c r="B1" s="1"/>
      <c r="I1" s="3" t="s">
        <v>0</v>
      </c>
    </row>
    <row r="3" spans="1:9" x14ac:dyDescent="0.3">
      <c r="A3" s="2" t="s">
        <v>42</v>
      </c>
    </row>
    <row r="4" spans="1:9" x14ac:dyDescent="0.3">
      <c r="B4" s="2" t="s">
        <v>55</v>
      </c>
    </row>
    <row r="5" spans="1:9" x14ac:dyDescent="0.3">
      <c r="B5" s="2" t="s">
        <v>58</v>
      </c>
    </row>
    <row r="6" spans="1:9" x14ac:dyDescent="0.3">
      <c r="B6" s="2" t="s">
        <v>47</v>
      </c>
    </row>
    <row r="8" spans="1:9" x14ac:dyDescent="0.3">
      <c r="A8" s="2" t="s">
        <v>43</v>
      </c>
    </row>
    <row r="9" spans="1:9" x14ac:dyDescent="0.3">
      <c r="A9" s="9" t="s">
        <v>5</v>
      </c>
      <c r="B9" s="2" t="s">
        <v>59</v>
      </c>
    </row>
    <row r="10" spans="1:9" x14ac:dyDescent="0.3">
      <c r="A10" s="9" t="s">
        <v>6</v>
      </c>
      <c r="B10" s="2" t="s">
        <v>48</v>
      </c>
    </row>
    <row r="12" spans="1:9" x14ac:dyDescent="0.3">
      <c r="A12" s="2" t="s">
        <v>44</v>
      </c>
    </row>
    <row r="13" spans="1:9" x14ac:dyDescent="0.3">
      <c r="A13" s="9" t="s">
        <v>1</v>
      </c>
      <c r="B13" s="2" t="s">
        <v>60</v>
      </c>
    </row>
    <row r="14" spans="1:9" x14ac:dyDescent="0.3">
      <c r="A14" s="9" t="s">
        <v>2</v>
      </c>
      <c r="B14" s="2" t="s">
        <v>49</v>
      </c>
    </row>
    <row r="15" spans="1:9" x14ac:dyDescent="0.3">
      <c r="A15" s="9" t="s">
        <v>3</v>
      </c>
      <c r="B15" s="2" t="s">
        <v>50</v>
      </c>
    </row>
    <row r="16" spans="1:9" x14ac:dyDescent="0.3">
      <c r="A16" s="9" t="s">
        <v>4</v>
      </c>
      <c r="B16" s="2" t="s">
        <v>51</v>
      </c>
    </row>
    <row r="18" spans="1:32" x14ac:dyDescent="0.3">
      <c r="A18" s="2" t="s">
        <v>45</v>
      </c>
    </row>
    <row r="19" spans="1:32" x14ac:dyDescent="0.3">
      <c r="A19" s="9" t="s">
        <v>13</v>
      </c>
      <c r="B19" s="2" t="s">
        <v>61</v>
      </c>
    </row>
    <row r="20" spans="1:32" x14ac:dyDescent="0.3">
      <c r="A20" s="9" t="s">
        <v>13</v>
      </c>
      <c r="B20" s="2" t="s">
        <v>57</v>
      </c>
    </row>
    <row r="22" spans="1:32" x14ac:dyDescent="0.3">
      <c r="A22" s="2" t="s">
        <v>46</v>
      </c>
    </row>
    <row r="23" spans="1:32" x14ac:dyDescent="0.3">
      <c r="A23" s="9" t="s">
        <v>7</v>
      </c>
      <c r="B23" s="2" t="s">
        <v>54</v>
      </c>
    </row>
    <row r="24" spans="1:32" x14ac:dyDescent="0.3">
      <c r="A24" s="9" t="s">
        <v>8</v>
      </c>
      <c r="B24" s="46" t="s">
        <v>56</v>
      </c>
    </row>
    <row r="25" spans="1:32" x14ac:dyDescent="0.3">
      <c r="A25" s="9" t="s">
        <v>9</v>
      </c>
      <c r="B25" s="46" t="s">
        <v>62</v>
      </c>
    </row>
    <row r="26" spans="1:32" x14ac:dyDescent="0.3">
      <c r="A26" s="9" t="s">
        <v>10</v>
      </c>
      <c r="B26" s="2" t="s">
        <v>52</v>
      </c>
    </row>
    <row r="27" spans="1:32" x14ac:dyDescent="0.3">
      <c r="A27" s="9" t="s">
        <v>11</v>
      </c>
      <c r="B27" s="2" t="s">
        <v>53</v>
      </c>
    </row>
    <row r="28" spans="1:32" ht="12" customHeight="1" x14ac:dyDescent="0.3"/>
    <row r="29" spans="1:32" ht="12" customHeight="1" x14ac:dyDescent="0.3">
      <c r="J29" s="2" t="s">
        <v>14</v>
      </c>
      <c r="U29" s="15" t="s">
        <v>35</v>
      </c>
      <c r="W29" s="15" t="s">
        <v>36</v>
      </c>
      <c r="X29" s="15"/>
      <c r="Y29" s="15" t="s">
        <v>37</v>
      </c>
      <c r="AA29" s="15" t="s">
        <v>38</v>
      </c>
      <c r="AC29" s="15" t="s">
        <v>39</v>
      </c>
      <c r="AE29" s="15" t="s">
        <v>40</v>
      </c>
    </row>
    <row r="30" spans="1:32" ht="16.5" x14ac:dyDescent="0.3">
      <c r="J30" s="56">
        <v>0</v>
      </c>
      <c r="K30" s="57"/>
      <c r="L30" s="58"/>
      <c r="U30" s="4" t="s">
        <v>34</v>
      </c>
      <c r="V30" s="4"/>
      <c r="W30" s="65">
        <v>20</v>
      </c>
      <c r="X30" s="66"/>
      <c r="Y30" s="65">
        <v>18</v>
      </c>
      <c r="Z30" s="66"/>
      <c r="AA30" s="69"/>
      <c r="AB30" s="68"/>
      <c r="AC30" s="69"/>
      <c r="AD30" s="68"/>
      <c r="AE30" s="67"/>
      <c r="AF30" s="68"/>
    </row>
    <row r="31" spans="1:32" ht="16.5" x14ac:dyDescent="0.3">
      <c r="C31" s="13"/>
      <c r="D31" s="13"/>
      <c r="E31" s="13"/>
      <c r="F31" s="13"/>
      <c r="G31" s="13"/>
      <c r="J31" s="2" t="s">
        <v>12</v>
      </c>
      <c r="U31" s="5" t="s">
        <v>17</v>
      </c>
      <c r="V31" s="5"/>
      <c r="W31" s="65">
        <v>24</v>
      </c>
      <c r="X31" s="66"/>
      <c r="Y31" s="65">
        <v>24</v>
      </c>
      <c r="Z31" s="66"/>
      <c r="AA31" s="51"/>
      <c r="AB31" s="50"/>
      <c r="AC31" s="51"/>
      <c r="AD31" s="50"/>
      <c r="AE31" s="52" t="e">
        <f>AC31/$AC$41</f>
        <v>#DIV/0!</v>
      </c>
      <c r="AF31" s="53"/>
    </row>
    <row r="32" spans="1:32" ht="16.5" x14ac:dyDescent="0.3">
      <c r="C32" s="13"/>
      <c r="D32" s="13"/>
      <c r="E32" s="13"/>
      <c r="F32" s="13"/>
      <c r="G32" s="13"/>
      <c r="J32" s="56">
        <v>30</v>
      </c>
      <c r="K32" s="57"/>
      <c r="L32" s="58"/>
      <c r="U32" s="5" t="s">
        <v>18</v>
      </c>
      <c r="V32" s="5"/>
      <c r="W32" s="65">
        <v>26</v>
      </c>
      <c r="X32" s="66"/>
      <c r="Y32" s="65">
        <v>24</v>
      </c>
      <c r="Z32" s="66"/>
      <c r="AA32" s="51"/>
      <c r="AB32" s="50"/>
      <c r="AC32" s="51"/>
      <c r="AD32" s="50"/>
      <c r="AE32" s="52" t="e">
        <f t="shared" ref="AE32:AE40" si="0">AC32/$AC$41</f>
        <v>#DIV/0!</v>
      </c>
      <c r="AF32" s="53"/>
    </row>
    <row r="33" spans="2:35" ht="16.5" x14ac:dyDescent="0.3">
      <c r="C33" s="14"/>
      <c r="D33" s="14"/>
      <c r="E33" s="14"/>
      <c r="F33" s="14"/>
      <c r="G33" s="14"/>
      <c r="U33" s="5" t="s">
        <v>19</v>
      </c>
      <c r="V33" s="5"/>
      <c r="W33" s="65">
        <v>8</v>
      </c>
      <c r="X33" s="66"/>
      <c r="Y33" s="65">
        <v>9</v>
      </c>
      <c r="Z33" s="66"/>
      <c r="AA33" s="51"/>
      <c r="AB33" s="50"/>
      <c r="AC33" s="51"/>
      <c r="AD33" s="50"/>
      <c r="AE33" s="52" t="e">
        <f t="shared" si="0"/>
        <v>#DIV/0!</v>
      </c>
      <c r="AF33" s="53"/>
    </row>
    <row r="34" spans="2:35" ht="16.5" x14ac:dyDescent="0.3">
      <c r="J34" s="6" t="s">
        <v>31</v>
      </c>
      <c r="U34" s="5" t="s">
        <v>20</v>
      </c>
      <c r="V34" s="5"/>
      <c r="W34" s="65">
        <v>6</v>
      </c>
      <c r="X34" s="66"/>
      <c r="Y34" s="65">
        <v>28</v>
      </c>
      <c r="Z34" s="66"/>
      <c r="AA34" s="51"/>
      <c r="AB34" s="50"/>
      <c r="AC34" s="51"/>
      <c r="AD34" s="50"/>
      <c r="AE34" s="52" t="e">
        <f t="shared" si="0"/>
        <v>#DIV/0!</v>
      </c>
      <c r="AF34" s="53"/>
    </row>
    <row r="35" spans="2:35" ht="16.5" x14ac:dyDescent="0.3">
      <c r="J35" s="59">
        <v>6</v>
      </c>
      <c r="K35" s="60"/>
      <c r="L35" s="61"/>
      <c r="U35" s="5" t="s">
        <v>21</v>
      </c>
      <c r="V35" s="5"/>
      <c r="W35" s="65">
        <v>30</v>
      </c>
      <c r="X35" s="66"/>
      <c r="Y35" s="65">
        <v>24</v>
      </c>
      <c r="Z35" s="66"/>
      <c r="AA35" s="51"/>
      <c r="AB35" s="50"/>
      <c r="AC35" s="51"/>
      <c r="AD35" s="50"/>
      <c r="AE35" s="52" t="e">
        <f t="shared" si="0"/>
        <v>#DIV/0!</v>
      </c>
      <c r="AF35" s="53"/>
    </row>
    <row r="36" spans="2:35" ht="16.5" x14ac:dyDescent="0.3">
      <c r="C36" s="13"/>
      <c r="D36" s="13"/>
      <c r="E36" s="13"/>
      <c r="F36" s="13"/>
      <c r="G36" s="13"/>
      <c r="J36" s="33"/>
      <c r="K36" s="33"/>
      <c r="L36" s="33"/>
      <c r="U36" s="5" t="s">
        <v>22</v>
      </c>
      <c r="V36" s="5"/>
      <c r="W36" s="65">
        <v>10</v>
      </c>
      <c r="X36" s="66"/>
      <c r="Y36" s="65">
        <v>3</v>
      </c>
      <c r="Z36" s="66"/>
      <c r="AA36" s="51"/>
      <c r="AB36" s="50"/>
      <c r="AC36" s="51"/>
      <c r="AD36" s="50"/>
      <c r="AE36" s="52" t="e">
        <f t="shared" si="0"/>
        <v>#DIV/0!</v>
      </c>
      <c r="AF36" s="53"/>
    </row>
    <row r="37" spans="2:35" ht="16.5" x14ac:dyDescent="0.3">
      <c r="C37" s="13"/>
      <c r="D37" s="13"/>
      <c r="E37" s="13"/>
      <c r="F37" s="13"/>
      <c r="G37" s="13"/>
      <c r="H37" s="8"/>
      <c r="I37" s="8"/>
      <c r="J37" s="6" t="s">
        <v>63</v>
      </c>
      <c r="K37" s="15"/>
      <c r="L37" s="15"/>
      <c r="O37" s="2" t="s">
        <v>32</v>
      </c>
      <c r="Q37" s="2" t="s">
        <v>15</v>
      </c>
      <c r="U37" s="5" t="s">
        <v>23</v>
      </c>
      <c r="V37" s="5"/>
      <c r="W37" s="65"/>
      <c r="X37" s="66"/>
      <c r="Y37" s="65"/>
      <c r="Z37" s="66"/>
      <c r="AA37" s="51"/>
      <c r="AB37" s="50"/>
      <c r="AC37" s="51"/>
      <c r="AD37" s="50"/>
      <c r="AE37" s="52" t="e">
        <f t="shared" si="0"/>
        <v>#DIV/0!</v>
      </c>
      <c r="AF37" s="53"/>
    </row>
    <row r="38" spans="2:35" ht="16.5" x14ac:dyDescent="0.3">
      <c r="C38" s="13"/>
      <c r="D38" s="13"/>
      <c r="E38" s="13"/>
      <c r="F38" s="13"/>
      <c r="G38" s="13"/>
      <c r="H38" s="8"/>
      <c r="I38" s="8"/>
      <c r="J38" s="15" t="s">
        <v>24</v>
      </c>
      <c r="K38" s="15"/>
      <c r="L38" s="15" t="s">
        <v>34</v>
      </c>
      <c r="O38" s="62"/>
      <c r="P38" s="63"/>
      <c r="Q38" s="64"/>
      <c r="R38" s="63"/>
      <c r="U38" s="5" t="s">
        <v>25</v>
      </c>
      <c r="V38" s="5"/>
      <c r="W38" s="65"/>
      <c r="X38" s="66"/>
      <c r="Y38" s="65"/>
      <c r="Z38" s="66"/>
      <c r="AA38" s="51"/>
      <c r="AB38" s="50"/>
      <c r="AC38" s="51"/>
      <c r="AD38" s="50"/>
      <c r="AE38" s="52" t="e">
        <f t="shared" si="0"/>
        <v>#DIV/0!</v>
      </c>
      <c r="AF38" s="53"/>
    </row>
    <row r="39" spans="2:35" ht="16.5" x14ac:dyDescent="0.3">
      <c r="C39" s="13"/>
      <c r="D39" s="13"/>
      <c r="E39" s="13"/>
      <c r="F39" s="13"/>
      <c r="G39" s="13"/>
      <c r="H39" s="8"/>
      <c r="I39" s="8"/>
      <c r="J39" s="34">
        <v>1</v>
      </c>
      <c r="K39" s="32"/>
      <c r="L39" s="34">
        <v>1</v>
      </c>
      <c r="M39" s="32"/>
      <c r="O39" s="2" t="s">
        <v>33</v>
      </c>
      <c r="U39" s="5" t="s">
        <v>26</v>
      </c>
      <c r="V39" s="5"/>
      <c r="W39" s="65"/>
      <c r="X39" s="66"/>
      <c r="Y39" s="65"/>
      <c r="Z39" s="66"/>
      <c r="AA39" s="51"/>
      <c r="AB39" s="50"/>
      <c r="AC39" s="51"/>
      <c r="AD39" s="50"/>
      <c r="AE39" s="52" t="e">
        <f t="shared" si="0"/>
        <v>#DIV/0!</v>
      </c>
      <c r="AF39" s="53"/>
    </row>
    <row r="40" spans="2:35" ht="16.5" x14ac:dyDescent="0.3">
      <c r="C40" s="14"/>
      <c r="D40" s="14"/>
      <c r="E40" s="14"/>
      <c r="F40" s="14"/>
      <c r="G40" s="14"/>
      <c r="O40" s="51"/>
      <c r="P40" s="54"/>
      <c r="Q40" s="54"/>
      <c r="R40" s="55"/>
      <c r="U40" s="5" t="s">
        <v>27</v>
      </c>
      <c r="V40" s="5"/>
      <c r="W40" s="65"/>
      <c r="X40" s="66"/>
      <c r="Y40" s="65"/>
      <c r="Z40" s="66"/>
      <c r="AA40" s="51"/>
      <c r="AB40" s="50"/>
      <c r="AC40" s="51"/>
      <c r="AD40" s="50"/>
      <c r="AE40" s="52" t="e">
        <f t="shared" si="0"/>
        <v>#DIV/0!</v>
      </c>
      <c r="AF40" s="53"/>
      <c r="AI40" s="7"/>
    </row>
    <row r="41" spans="2:35" ht="16.5" x14ac:dyDescent="0.3">
      <c r="AB41" s="16" t="s">
        <v>64</v>
      </c>
      <c r="AC41" s="51">
        <f>SUM(AC31:AD40)</f>
        <v>0</v>
      </c>
      <c r="AD41" s="50"/>
      <c r="AE41" s="52" t="e">
        <f>SUM(AE31:AF40)</f>
        <v>#DIV/0!</v>
      </c>
      <c r="AF41" s="53"/>
      <c r="AI41" s="7"/>
    </row>
    <row r="42" spans="2:35" ht="14.25" thickBot="1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</row>
    <row r="43" spans="2:35" x14ac:dyDescent="0.3">
      <c r="B43" s="14"/>
      <c r="C43" s="36"/>
      <c r="D43" s="37"/>
      <c r="E43" s="38"/>
      <c r="F43" s="38"/>
      <c r="G43" s="38"/>
      <c r="H43" s="38"/>
      <c r="I43" s="38"/>
      <c r="J43" s="38"/>
      <c r="K43" s="38"/>
      <c r="L43" s="37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14"/>
    </row>
    <row r="44" spans="2:35" x14ac:dyDescent="0.3">
      <c r="B44" s="14"/>
      <c r="C44" s="40"/>
      <c r="D44" s="14"/>
      <c r="E44" s="17"/>
      <c r="F44" s="17"/>
      <c r="G44" s="17"/>
      <c r="H44" s="17"/>
      <c r="I44" s="17"/>
      <c r="J44" s="17"/>
      <c r="K44" s="14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8"/>
      <c r="X44" s="17"/>
      <c r="Y44" s="17"/>
      <c r="Z44" s="17"/>
      <c r="AA44" s="17"/>
      <c r="AB44" s="17"/>
      <c r="AC44" s="17"/>
      <c r="AD44" s="14"/>
      <c r="AE44" s="17"/>
      <c r="AF44" s="41"/>
      <c r="AG44" s="14"/>
    </row>
    <row r="45" spans="2:35" x14ac:dyDescent="0.3">
      <c r="B45" s="14"/>
      <c r="C45" s="4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8"/>
      <c r="Y45" s="17"/>
      <c r="Z45" s="17"/>
      <c r="AA45" s="17"/>
      <c r="AB45" s="17"/>
      <c r="AC45" s="17"/>
      <c r="AD45" s="17"/>
      <c r="AE45" s="17"/>
      <c r="AF45" s="41"/>
      <c r="AG45" s="14"/>
    </row>
    <row r="46" spans="2:35" x14ac:dyDescent="0.3">
      <c r="B46" s="14"/>
      <c r="C46" s="4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41"/>
      <c r="AG46" s="14"/>
    </row>
    <row r="47" spans="2:35" x14ac:dyDescent="0.3">
      <c r="B47" s="14"/>
      <c r="C47" s="40"/>
      <c r="D47" s="17"/>
      <c r="E47" s="17"/>
      <c r="F47" s="17"/>
      <c r="G47" s="17"/>
      <c r="H47" s="17"/>
      <c r="I47" s="30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4"/>
      <c r="AC47" s="17"/>
      <c r="AD47" s="14"/>
      <c r="AE47" s="17"/>
      <c r="AF47" s="41"/>
      <c r="AG47" s="14"/>
    </row>
    <row r="48" spans="2:35" x14ac:dyDescent="0.3">
      <c r="B48" s="14"/>
      <c r="C48" s="4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8">
        <v>4</v>
      </c>
      <c r="AE48" s="17"/>
      <c r="AF48" s="41"/>
      <c r="AG48" s="14"/>
    </row>
    <row r="49" spans="1:33" x14ac:dyDescent="0.3">
      <c r="B49" s="14"/>
      <c r="C49" s="40"/>
      <c r="D49" s="17"/>
      <c r="E49" s="17"/>
      <c r="F49" s="17"/>
      <c r="G49" s="17"/>
      <c r="H49" s="30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8"/>
      <c r="AD49" s="17"/>
      <c r="AE49" s="17"/>
      <c r="AF49" s="41"/>
      <c r="AG49" s="14"/>
    </row>
    <row r="50" spans="1:33" x14ac:dyDescent="0.3">
      <c r="B50" s="14"/>
      <c r="C50" s="40"/>
      <c r="D50" s="17"/>
      <c r="E50" s="17"/>
      <c r="F50" s="17"/>
      <c r="G50" s="17"/>
      <c r="H50" s="17"/>
      <c r="I50" s="30"/>
      <c r="J50" s="14"/>
      <c r="K50" s="18">
        <v>3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4"/>
      <c r="Z50" s="17"/>
      <c r="AA50" s="17"/>
      <c r="AB50" s="17"/>
      <c r="AC50" s="17"/>
      <c r="AD50" s="17"/>
      <c r="AE50" s="17"/>
      <c r="AF50" s="41"/>
      <c r="AG50" s="14"/>
    </row>
    <row r="51" spans="1:33" x14ac:dyDescent="0.3">
      <c r="B51" s="14"/>
      <c r="C51" s="40"/>
      <c r="D51" s="17"/>
      <c r="E51" s="17"/>
      <c r="F51" s="17"/>
      <c r="G51" s="17"/>
      <c r="H51" s="17"/>
      <c r="I51" s="14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41"/>
      <c r="AG51" s="14"/>
    </row>
    <row r="52" spans="1:33" ht="14.25" thickBot="1" x14ac:dyDescent="0.35">
      <c r="B52" s="14"/>
      <c r="C52" s="40"/>
      <c r="D52" s="17"/>
      <c r="E52" s="18">
        <v>6</v>
      </c>
      <c r="F52" s="30"/>
      <c r="G52" s="17"/>
      <c r="H52" s="17"/>
      <c r="I52" s="17"/>
      <c r="J52" s="17"/>
      <c r="K52" s="17"/>
      <c r="L52" s="17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17"/>
      <c r="X52" s="17"/>
      <c r="Y52" s="17"/>
      <c r="Z52" s="17"/>
      <c r="AA52" s="17"/>
      <c r="AB52" s="17"/>
      <c r="AC52" s="17"/>
      <c r="AD52" s="17"/>
      <c r="AE52" s="17"/>
      <c r="AF52" s="41"/>
      <c r="AG52" s="14"/>
    </row>
    <row r="53" spans="1:33" ht="14.25" thickTop="1" x14ac:dyDescent="0.3">
      <c r="B53" s="14"/>
      <c r="C53" s="40"/>
      <c r="D53" s="17"/>
      <c r="E53" s="17"/>
      <c r="F53" s="17"/>
      <c r="G53" s="17"/>
      <c r="H53" s="17"/>
      <c r="I53" s="17"/>
      <c r="J53" s="17"/>
      <c r="K53" s="17"/>
      <c r="L53" s="19"/>
      <c r="M53" s="31"/>
      <c r="N53" s="23"/>
      <c r="O53" s="23"/>
      <c r="P53" s="23"/>
      <c r="Q53" s="23"/>
      <c r="R53" s="23"/>
      <c r="S53" s="23"/>
      <c r="T53" s="23"/>
      <c r="U53" s="23"/>
      <c r="V53" s="24"/>
      <c r="W53" s="20"/>
      <c r="X53" s="17"/>
      <c r="Y53" s="17"/>
      <c r="Z53" s="17"/>
      <c r="AA53" s="17"/>
      <c r="AB53" s="17"/>
      <c r="AC53" s="17"/>
      <c r="AD53" s="17"/>
      <c r="AE53" s="17"/>
      <c r="AF53" s="41"/>
      <c r="AG53" s="14"/>
    </row>
    <row r="54" spans="1:33" x14ac:dyDescent="0.3">
      <c r="B54" s="14"/>
      <c r="C54" s="40"/>
      <c r="D54" s="17"/>
      <c r="E54" s="17"/>
      <c r="F54" s="17"/>
      <c r="G54" s="17"/>
      <c r="H54" s="17"/>
      <c r="I54" s="17"/>
      <c r="J54" s="17"/>
      <c r="K54" s="17"/>
      <c r="L54" s="19"/>
      <c r="M54" s="25"/>
      <c r="N54" s="17"/>
      <c r="O54" s="17"/>
      <c r="P54" s="17"/>
      <c r="Q54" s="17"/>
      <c r="R54" s="17"/>
      <c r="S54" s="17"/>
      <c r="T54" s="17"/>
      <c r="U54" s="17"/>
      <c r="V54" s="26"/>
      <c r="W54" s="20"/>
      <c r="X54" s="17"/>
      <c r="Y54" s="17"/>
      <c r="Z54" s="17"/>
      <c r="AA54" s="17"/>
      <c r="AB54" s="17"/>
      <c r="AC54" s="17"/>
      <c r="AD54" s="17"/>
      <c r="AE54" s="17"/>
      <c r="AF54" s="41"/>
      <c r="AG54" s="14"/>
    </row>
    <row r="55" spans="1:33" x14ac:dyDescent="0.3">
      <c r="B55" s="14"/>
      <c r="C55" s="40"/>
      <c r="D55" s="17"/>
      <c r="E55" s="17"/>
      <c r="F55" s="17"/>
      <c r="G55" s="17"/>
      <c r="H55" s="17"/>
      <c r="I55" s="17"/>
      <c r="J55" s="17"/>
      <c r="K55" s="17"/>
      <c r="L55" s="19"/>
      <c r="M55" s="25"/>
      <c r="N55" s="17"/>
      <c r="O55" s="17"/>
      <c r="P55" s="17"/>
      <c r="Q55" s="17"/>
      <c r="R55" s="17"/>
      <c r="S55" s="17"/>
      <c r="T55" s="17"/>
      <c r="U55" s="17"/>
      <c r="V55" s="26"/>
      <c r="W55" s="20"/>
      <c r="X55" s="17"/>
      <c r="Y55" s="17"/>
      <c r="Z55" s="17"/>
      <c r="AA55" s="17"/>
      <c r="AB55" s="17"/>
      <c r="AC55" s="17"/>
      <c r="AD55" s="17"/>
      <c r="AE55" s="17"/>
      <c r="AF55" s="41"/>
      <c r="AG55" s="14"/>
    </row>
    <row r="56" spans="1:33" x14ac:dyDescent="0.3">
      <c r="B56" s="14"/>
      <c r="C56" s="40"/>
      <c r="D56" s="17"/>
      <c r="E56" s="17"/>
      <c r="F56" s="17"/>
      <c r="G56" s="17"/>
      <c r="H56" s="17"/>
      <c r="I56" s="17"/>
      <c r="J56" s="17"/>
      <c r="K56" s="17"/>
      <c r="L56" s="19"/>
      <c r="M56" s="25"/>
      <c r="N56" s="17"/>
      <c r="O56" s="17"/>
      <c r="P56" s="17"/>
      <c r="Q56" s="17"/>
      <c r="R56" s="17"/>
      <c r="S56" s="17"/>
      <c r="T56" s="17"/>
      <c r="U56" s="17"/>
      <c r="V56" s="26"/>
      <c r="W56" s="20"/>
      <c r="X56" s="17"/>
      <c r="Y56" s="17"/>
      <c r="Z56" s="17"/>
      <c r="AA56" s="17"/>
      <c r="AB56" s="17"/>
      <c r="AC56" s="17"/>
      <c r="AD56" s="17"/>
      <c r="AE56" s="17"/>
      <c r="AF56" s="41"/>
      <c r="AG56" s="14"/>
    </row>
    <row r="57" spans="1:33" x14ac:dyDescent="0.3">
      <c r="B57" s="14"/>
      <c r="C57" s="40"/>
      <c r="D57" s="17"/>
      <c r="E57" s="17"/>
      <c r="F57" s="17"/>
      <c r="G57" s="17"/>
      <c r="H57" s="17"/>
      <c r="I57" s="17"/>
      <c r="J57" s="17"/>
      <c r="K57" s="17"/>
      <c r="L57" s="19"/>
      <c r="M57" s="25"/>
      <c r="N57" s="17"/>
      <c r="O57" s="17"/>
      <c r="P57" s="17"/>
      <c r="Q57" s="17"/>
      <c r="R57" s="17"/>
      <c r="S57" s="17"/>
      <c r="T57" s="17"/>
      <c r="U57" s="17"/>
      <c r="V57" s="26"/>
      <c r="W57" s="20"/>
      <c r="X57" s="17"/>
      <c r="Y57" s="17"/>
      <c r="Z57" s="17"/>
      <c r="AA57" s="17"/>
      <c r="AB57" s="17"/>
      <c r="AC57" s="17"/>
      <c r="AD57" s="17"/>
      <c r="AE57" s="17"/>
      <c r="AF57" s="41"/>
      <c r="AG57" s="14"/>
    </row>
    <row r="58" spans="1:33" x14ac:dyDescent="0.3">
      <c r="B58" s="14"/>
      <c r="C58" s="40"/>
      <c r="D58" s="17"/>
      <c r="E58" s="17"/>
      <c r="F58" s="17"/>
      <c r="G58" s="17"/>
      <c r="H58" s="17"/>
      <c r="I58" s="17"/>
      <c r="J58" s="17"/>
      <c r="K58" s="17"/>
      <c r="L58" s="19"/>
      <c r="M58" s="25"/>
      <c r="N58" s="8"/>
      <c r="O58" s="17"/>
      <c r="P58" s="17"/>
      <c r="Q58" s="17"/>
      <c r="R58" s="17"/>
      <c r="S58" s="17"/>
      <c r="T58" s="17"/>
      <c r="U58" s="17"/>
      <c r="V58" s="26"/>
      <c r="W58" s="20"/>
      <c r="X58" s="17"/>
      <c r="Y58" s="17"/>
      <c r="Z58" s="17"/>
      <c r="AA58" s="17"/>
      <c r="AB58" s="17"/>
      <c r="AC58" s="17"/>
      <c r="AD58" s="17"/>
      <c r="AE58" s="17"/>
      <c r="AF58" s="41"/>
      <c r="AG58" s="14"/>
    </row>
    <row r="59" spans="1:33" x14ac:dyDescent="0.3">
      <c r="A59" s="14"/>
      <c r="B59" s="14"/>
      <c r="C59" s="40"/>
      <c r="D59" s="17"/>
      <c r="E59" s="17"/>
      <c r="F59" s="17"/>
      <c r="G59" s="17"/>
      <c r="H59" s="17"/>
      <c r="I59" s="17"/>
      <c r="J59" s="17"/>
      <c r="K59" s="17"/>
      <c r="L59" s="19"/>
      <c r="M59" s="25"/>
      <c r="N59" s="17"/>
      <c r="O59" s="14"/>
      <c r="P59" s="17"/>
      <c r="Q59" s="17"/>
      <c r="R59" s="17"/>
      <c r="S59" s="17"/>
      <c r="T59" s="17"/>
      <c r="U59" s="17"/>
      <c r="V59" s="26"/>
      <c r="W59" s="20"/>
      <c r="X59" s="17"/>
      <c r="Y59" s="17"/>
      <c r="Z59" s="17"/>
      <c r="AA59" s="17"/>
      <c r="AB59" s="17"/>
      <c r="AC59" s="17"/>
      <c r="AD59" s="17"/>
      <c r="AE59" s="17"/>
      <c r="AF59" s="41"/>
      <c r="AG59" s="14"/>
    </row>
    <row r="60" spans="1:33" x14ac:dyDescent="0.3">
      <c r="B60" s="14"/>
      <c r="C60" s="40"/>
      <c r="D60" s="17"/>
      <c r="E60" s="17"/>
      <c r="F60" s="17"/>
      <c r="G60" s="17"/>
      <c r="H60" s="17"/>
      <c r="I60" s="17"/>
      <c r="J60" s="17"/>
      <c r="K60" s="17"/>
      <c r="L60" s="19"/>
      <c r="M60" s="25"/>
      <c r="N60" s="17"/>
      <c r="O60" s="17"/>
      <c r="P60" s="17"/>
      <c r="Q60" s="17"/>
      <c r="R60" s="17"/>
      <c r="S60" s="17"/>
      <c r="T60" s="17"/>
      <c r="U60" s="17"/>
      <c r="V60" s="26"/>
      <c r="W60" s="20"/>
      <c r="X60" s="17"/>
      <c r="Y60" s="17"/>
      <c r="Z60" s="17"/>
      <c r="AA60" s="17"/>
      <c r="AB60" s="17"/>
      <c r="AC60" s="17"/>
      <c r="AD60" s="17"/>
      <c r="AE60" s="17"/>
      <c r="AF60" s="41"/>
      <c r="AG60" s="14"/>
    </row>
    <row r="61" spans="1:33" x14ac:dyDescent="0.3">
      <c r="B61" s="14"/>
      <c r="C61" s="40"/>
      <c r="D61" s="17"/>
      <c r="E61" s="17"/>
      <c r="F61" s="17"/>
      <c r="G61" s="17"/>
      <c r="H61" s="17"/>
      <c r="I61" s="17"/>
      <c r="J61" s="17"/>
      <c r="K61" s="17"/>
      <c r="L61" s="19"/>
      <c r="M61" s="25"/>
      <c r="N61" s="17"/>
      <c r="O61" s="17"/>
      <c r="P61" s="17"/>
      <c r="Q61" s="17"/>
      <c r="R61" s="17"/>
      <c r="S61" s="17"/>
      <c r="T61" s="8"/>
      <c r="U61" s="17"/>
      <c r="V61" s="26"/>
      <c r="W61" s="20"/>
      <c r="X61" s="17"/>
      <c r="Y61" s="17"/>
      <c r="Z61" s="17"/>
      <c r="AA61" s="17"/>
      <c r="AB61" s="17"/>
      <c r="AC61" s="17"/>
      <c r="AD61" s="17"/>
      <c r="AE61" s="17"/>
      <c r="AF61" s="41"/>
      <c r="AG61" s="14"/>
    </row>
    <row r="62" spans="1:33" ht="14.25" thickBot="1" x14ac:dyDescent="0.35">
      <c r="B62" s="14"/>
      <c r="C62" s="40"/>
      <c r="D62" s="17"/>
      <c r="E62" s="17"/>
      <c r="F62" s="17"/>
      <c r="G62" s="17"/>
      <c r="H62" s="17"/>
      <c r="I62" s="17"/>
      <c r="J62" s="17"/>
      <c r="K62" s="17"/>
      <c r="L62" s="19"/>
      <c r="M62" s="27"/>
      <c r="N62" s="28"/>
      <c r="O62" s="28"/>
      <c r="P62" s="28"/>
      <c r="Q62" s="28"/>
      <c r="R62" s="28"/>
      <c r="S62" s="28"/>
      <c r="T62" s="47" t="s">
        <v>41</v>
      </c>
      <c r="U62" s="28"/>
      <c r="V62" s="29"/>
      <c r="W62" s="20"/>
      <c r="X62" s="17"/>
      <c r="Y62" s="17"/>
      <c r="Z62" s="17"/>
      <c r="AA62" s="17"/>
      <c r="AB62" s="17"/>
      <c r="AC62" s="17"/>
      <c r="AD62" s="17"/>
      <c r="AE62" s="17"/>
      <c r="AF62" s="41"/>
      <c r="AG62" s="14"/>
    </row>
    <row r="63" spans="1:33" ht="14.25" thickTop="1" x14ac:dyDescent="0.3">
      <c r="B63" s="14"/>
      <c r="C63" s="40"/>
      <c r="D63" s="17"/>
      <c r="E63" s="17"/>
      <c r="F63" s="17"/>
      <c r="G63" s="17"/>
      <c r="H63" s="30"/>
      <c r="I63" s="17"/>
      <c r="J63" s="14"/>
      <c r="K63" s="17"/>
      <c r="L63" s="17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17"/>
      <c r="X63" s="17"/>
      <c r="Y63" s="17"/>
      <c r="Z63" s="17"/>
      <c r="AA63" s="8"/>
      <c r="AB63" s="17"/>
      <c r="AC63" s="17"/>
      <c r="AD63" s="17"/>
      <c r="AE63" s="17"/>
      <c r="AF63" s="41"/>
      <c r="AG63" s="14"/>
    </row>
    <row r="64" spans="1:33" x14ac:dyDescent="0.3">
      <c r="B64" s="14"/>
      <c r="C64" s="40"/>
      <c r="D64" s="17"/>
      <c r="E64" s="17"/>
      <c r="F64" s="17"/>
      <c r="G64" s="17"/>
      <c r="H64" s="17"/>
      <c r="I64" s="14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8"/>
      <c r="Z64" s="17"/>
      <c r="AA64" s="17"/>
      <c r="AB64" s="17"/>
      <c r="AC64" s="17"/>
      <c r="AD64" s="17"/>
      <c r="AE64" s="14"/>
      <c r="AF64" s="41"/>
      <c r="AG64" s="14"/>
    </row>
    <row r="65" spans="1:33" x14ac:dyDescent="0.3">
      <c r="B65" s="14"/>
      <c r="C65" s="40"/>
      <c r="D65" s="17"/>
      <c r="E65" s="30"/>
      <c r="F65" s="30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8"/>
      <c r="X65" s="17"/>
      <c r="Y65" s="17"/>
      <c r="Z65" s="17"/>
      <c r="AA65" s="17"/>
      <c r="AB65" s="8"/>
      <c r="AC65" s="17"/>
      <c r="AD65" s="17"/>
      <c r="AE65" s="17"/>
      <c r="AF65" s="41"/>
      <c r="AG65" s="14"/>
    </row>
    <row r="66" spans="1:33" x14ac:dyDescent="0.3">
      <c r="B66" s="14"/>
      <c r="C66" s="40"/>
      <c r="D66" s="17"/>
      <c r="E66" s="30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8">
        <v>1</v>
      </c>
      <c r="AA66" s="17"/>
      <c r="AB66" s="17"/>
      <c r="AC66" s="17"/>
      <c r="AD66" s="17"/>
      <c r="AE66" s="17"/>
      <c r="AF66" s="41"/>
      <c r="AG66" s="14"/>
    </row>
    <row r="67" spans="1:33" x14ac:dyDescent="0.3">
      <c r="B67" s="14"/>
      <c r="C67" s="4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8"/>
      <c r="Y67" s="17"/>
      <c r="Z67" s="17"/>
      <c r="AA67" s="17"/>
      <c r="AB67" s="17"/>
      <c r="AC67" s="14"/>
      <c r="AD67" s="17"/>
      <c r="AE67" s="17"/>
      <c r="AF67" s="41"/>
      <c r="AG67" s="14"/>
    </row>
    <row r="68" spans="1:33" x14ac:dyDescent="0.3">
      <c r="B68" s="14"/>
      <c r="C68" s="40"/>
      <c r="D68" s="17"/>
      <c r="E68" s="17"/>
      <c r="F68" s="17"/>
      <c r="G68" s="17"/>
      <c r="H68" s="17"/>
      <c r="I68" s="30"/>
      <c r="J68" s="17"/>
      <c r="K68" s="17"/>
      <c r="L68" s="8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8">
        <v>2</v>
      </c>
      <c r="AA68" s="17"/>
      <c r="AB68" s="17"/>
      <c r="AC68" s="17"/>
      <c r="AD68" s="17"/>
      <c r="AE68" s="17"/>
      <c r="AF68" s="41"/>
      <c r="AG68" s="14"/>
    </row>
    <row r="69" spans="1:33" x14ac:dyDescent="0.3">
      <c r="B69" s="14"/>
      <c r="C69" s="40"/>
      <c r="D69" s="17"/>
      <c r="E69" s="17"/>
      <c r="F69" s="30"/>
      <c r="G69" s="17"/>
      <c r="H69" s="17"/>
      <c r="I69" s="17"/>
      <c r="J69" s="30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41"/>
      <c r="AG69" s="14"/>
    </row>
    <row r="70" spans="1:33" x14ac:dyDescent="0.3">
      <c r="B70" s="14"/>
      <c r="C70" s="40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8"/>
      <c r="AA70" s="17"/>
      <c r="AB70" s="17"/>
      <c r="AC70" s="17"/>
      <c r="AD70" s="17"/>
      <c r="AE70" s="17"/>
      <c r="AF70" s="41"/>
      <c r="AG70" s="14"/>
    </row>
    <row r="71" spans="1:33" x14ac:dyDescent="0.3">
      <c r="B71" s="14"/>
      <c r="C71" s="40"/>
      <c r="D71" s="17"/>
      <c r="E71" s="17"/>
      <c r="F71" s="17"/>
      <c r="G71" s="30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41"/>
      <c r="AG71" s="14"/>
    </row>
    <row r="72" spans="1:33" ht="14.25" thickBot="1" x14ac:dyDescent="0.35">
      <c r="B72" s="14"/>
      <c r="C72" s="42"/>
      <c r="D72" s="43"/>
      <c r="E72" s="43"/>
      <c r="F72" s="43"/>
      <c r="G72" s="43"/>
      <c r="H72" s="43"/>
      <c r="I72" s="43"/>
      <c r="J72" s="44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8">
        <v>5</v>
      </c>
      <c r="AA72" s="43"/>
      <c r="AB72" s="43"/>
      <c r="AC72" s="43"/>
      <c r="AD72" s="43"/>
      <c r="AE72" s="43"/>
      <c r="AF72" s="45"/>
      <c r="AG72" s="14"/>
    </row>
    <row r="73" spans="1:33" x14ac:dyDescent="0.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</row>
    <row r="74" spans="1:33" x14ac:dyDescent="0.3">
      <c r="W74" s="14"/>
    </row>
    <row r="75" spans="1:33" ht="16.5" x14ac:dyDescent="0.3">
      <c r="A75" s="12" t="s">
        <v>28</v>
      </c>
    </row>
    <row r="76" spans="1:33" x14ac:dyDescent="0.3">
      <c r="A76" s="6"/>
      <c r="C76" s="4">
        <v>1</v>
      </c>
      <c r="D76" s="4">
        <v>2</v>
      </c>
      <c r="E76" s="4">
        <v>3</v>
      </c>
      <c r="F76" s="4">
        <v>4</v>
      </c>
      <c r="G76" s="4">
        <v>5</v>
      </c>
      <c r="H76" s="4">
        <v>6</v>
      </c>
      <c r="I76" s="4">
        <v>7</v>
      </c>
      <c r="J76" s="4">
        <v>8</v>
      </c>
      <c r="K76" s="4">
        <v>9</v>
      </c>
      <c r="L76" s="4">
        <v>10</v>
      </c>
      <c r="M76" s="4">
        <v>11</v>
      </c>
      <c r="N76" s="4">
        <v>12</v>
      </c>
      <c r="O76" s="4">
        <v>13</v>
      </c>
      <c r="P76" s="4">
        <v>14</v>
      </c>
      <c r="Q76" s="4">
        <v>15</v>
      </c>
      <c r="R76" s="4">
        <v>16</v>
      </c>
      <c r="S76" s="4">
        <v>17</v>
      </c>
      <c r="T76" s="4">
        <v>18</v>
      </c>
      <c r="U76" s="4">
        <v>19</v>
      </c>
      <c r="V76" s="4">
        <v>20</v>
      </c>
      <c r="W76" s="4">
        <v>21</v>
      </c>
      <c r="X76" s="4">
        <v>22</v>
      </c>
      <c r="Y76" s="4">
        <v>23</v>
      </c>
      <c r="Z76" s="4">
        <v>24</v>
      </c>
      <c r="AA76" s="4">
        <v>25</v>
      </c>
      <c r="AB76" s="4">
        <v>26</v>
      </c>
      <c r="AC76" s="4">
        <v>27</v>
      </c>
      <c r="AD76" s="4">
        <v>28</v>
      </c>
      <c r="AE76" s="4">
        <v>29</v>
      </c>
      <c r="AF76" s="4">
        <v>30</v>
      </c>
    </row>
    <row r="77" spans="1:33" x14ac:dyDescent="0.3">
      <c r="A77" s="11" t="s">
        <v>29</v>
      </c>
      <c r="B77" s="10"/>
      <c r="C77" s="35">
        <f>IF($J$32&lt;30,C76-1,(C76-1)*$J$32/30)</f>
        <v>0</v>
      </c>
      <c r="D77" s="35">
        <f t="shared" ref="D77:AF77" si="1">IF($J$32&lt;30,D76-1,(D76-1)*$J$32/30)</f>
        <v>1</v>
      </c>
      <c r="E77" s="35">
        <f t="shared" si="1"/>
        <v>2</v>
      </c>
      <c r="F77" s="35">
        <f t="shared" si="1"/>
        <v>3</v>
      </c>
      <c r="G77" s="35">
        <f t="shared" si="1"/>
        <v>4</v>
      </c>
      <c r="H77" s="35">
        <f t="shared" si="1"/>
        <v>5</v>
      </c>
      <c r="I77" s="35">
        <f t="shared" si="1"/>
        <v>6</v>
      </c>
      <c r="J77" s="35">
        <f t="shared" si="1"/>
        <v>7</v>
      </c>
      <c r="K77" s="35">
        <f t="shared" si="1"/>
        <v>8</v>
      </c>
      <c r="L77" s="35">
        <f t="shared" si="1"/>
        <v>9</v>
      </c>
      <c r="M77" s="35">
        <f t="shared" si="1"/>
        <v>10</v>
      </c>
      <c r="N77" s="35">
        <f t="shared" si="1"/>
        <v>11</v>
      </c>
      <c r="O77" s="35">
        <f t="shared" si="1"/>
        <v>12</v>
      </c>
      <c r="P77" s="35">
        <f t="shared" si="1"/>
        <v>13</v>
      </c>
      <c r="Q77" s="35">
        <f t="shared" si="1"/>
        <v>14</v>
      </c>
      <c r="R77" s="35">
        <f t="shared" si="1"/>
        <v>15</v>
      </c>
      <c r="S77" s="35">
        <f t="shared" si="1"/>
        <v>16</v>
      </c>
      <c r="T77" s="35">
        <f t="shared" si="1"/>
        <v>17</v>
      </c>
      <c r="U77" s="35">
        <f t="shared" si="1"/>
        <v>18</v>
      </c>
      <c r="V77" s="35">
        <f t="shared" si="1"/>
        <v>19</v>
      </c>
      <c r="W77" s="35">
        <f t="shared" si="1"/>
        <v>20</v>
      </c>
      <c r="X77" s="35">
        <f t="shared" si="1"/>
        <v>21</v>
      </c>
      <c r="Y77" s="35">
        <f t="shared" si="1"/>
        <v>22</v>
      </c>
      <c r="Z77" s="35">
        <f t="shared" si="1"/>
        <v>23</v>
      </c>
      <c r="AA77" s="35">
        <f t="shared" si="1"/>
        <v>24</v>
      </c>
      <c r="AB77" s="35">
        <f t="shared" si="1"/>
        <v>25</v>
      </c>
      <c r="AC77" s="35">
        <f t="shared" si="1"/>
        <v>26</v>
      </c>
      <c r="AD77" s="35">
        <f t="shared" si="1"/>
        <v>27</v>
      </c>
      <c r="AE77" s="35">
        <f t="shared" si="1"/>
        <v>28</v>
      </c>
      <c r="AF77" s="35">
        <f t="shared" si="1"/>
        <v>29</v>
      </c>
    </row>
    <row r="78" spans="1:33" ht="16.5" x14ac:dyDescent="0.3">
      <c r="A78" s="49" t="s">
        <v>17</v>
      </c>
      <c r="B78" s="50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</row>
    <row r="79" spans="1:33" ht="16.5" x14ac:dyDescent="0.3">
      <c r="A79" s="49" t="s">
        <v>18</v>
      </c>
      <c r="B79" s="50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</row>
    <row r="80" spans="1:33" ht="16.5" x14ac:dyDescent="0.3">
      <c r="A80" s="49" t="s">
        <v>19</v>
      </c>
      <c r="B80" s="50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ht="16.5" x14ac:dyDescent="0.3">
      <c r="A81" s="49" t="s">
        <v>20</v>
      </c>
      <c r="B81" s="50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ht="16.5" x14ac:dyDescent="0.3">
      <c r="A82" s="49" t="s">
        <v>21</v>
      </c>
      <c r="B82" s="50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ht="16.5" x14ac:dyDescent="0.3">
      <c r="A83" s="49" t="s">
        <v>22</v>
      </c>
      <c r="B83" s="50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</row>
    <row r="84" spans="1:32" ht="16.5" x14ac:dyDescent="0.3">
      <c r="A84" s="49" t="s">
        <v>23</v>
      </c>
      <c r="B84" s="50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</row>
    <row r="85" spans="1:32" ht="16.5" x14ac:dyDescent="0.3">
      <c r="A85" s="49" t="s">
        <v>25</v>
      </c>
      <c r="B85" s="50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</row>
    <row r="86" spans="1:32" ht="16.5" x14ac:dyDescent="0.3">
      <c r="A86" s="49" t="s">
        <v>26</v>
      </c>
      <c r="B86" s="50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</row>
    <row r="87" spans="1:32" ht="16.5" x14ac:dyDescent="0.3">
      <c r="A87" s="49" t="s">
        <v>27</v>
      </c>
      <c r="B87" s="50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</row>
    <row r="88" spans="1:32" x14ac:dyDescent="0.3">
      <c r="A88" s="11" t="s">
        <v>30</v>
      </c>
      <c r="B88" s="10"/>
      <c r="C88" s="35">
        <f>SUM(C78:C81)</f>
        <v>0</v>
      </c>
      <c r="D88" s="35">
        <f t="shared" ref="D88:AF88" si="2">SUM(D78:D81)</f>
        <v>0</v>
      </c>
      <c r="E88" s="35">
        <f t="shared" si="2"/>
        <v>0</v>
      </c>
      <c r="F88" s="35">
        <f t="shared" si="2"/>
        <v>0</v>
      </c>
      <c r="G88" s="35">
        <f t="shared" si="2"/>
        <v>0</v>
      </c>
      <c r="H88" s="35">
        <f t="shared" si="2"/>
        <v>0</v>
      </c>
      <c r="I88" s="35">
        <f t="shared" si="2"/>
        <v>0</v>
      </c>
      <c r="J88" s="35">
        <f t="shared" si="2"/>
        <v>0</v>
      </c>
      <c r="K88" s="35">
        <f t="shared" si="2"/>
        <v>0</v>
      </c>
      <c r="L88" s="35">
        <f t="shared" si="2"/>
        <v>0</v>
      </c>
      <c r="M88" s="35">
        <f t="shared" si="2"/>
        <v>0</v>
      </c>
      <c r="N88" s="35">
        <f t="shared" si="2"/>
        <v>0</v>
      </c>
      <c r="O88" s="35">
        <f t="shared" si="2"/>
        <v>0</v>
      </c>
      <c r="P88" s="35">
        <f t="shared" si="2"/>
        <v>0</v>
      </c>
      <c r="Q88" s="35">
        <f t="shared" si="2"/>
        <v>0</v>
      </c>
      <c r="R88" s="35">
        <f t="shared" si="2"/>
        <v>0</v>
      </c>
      <c r="S88" s="35">
        <f t="shared" si="2"/>
        <v>0</v>
      </c>
      <c r="T88" s="35">
        <f t="shared" si="2"/>
        <v>0</v>
      </c>
      <c r="U88" s="35">
        <f t="shared" si="2"/>
        <v>0</v>
      </c>
      <c r="V88" s="35">
        <f t="shared" si="2"/>
        <v>0</v>
      </c>
      <c r="W88" s="35">
        <f t="shared" si="2"/>
        <v>0</v>
      </c>
      <c r="X88" s="35">
        <f t="shared" si="2"/>
        <v>0</v>
      </c>
      <c r="Y88" s="35">
        <f t="shared" si="2"/>
        <v>0</v>
      </c>
      <c r="Z88" s="35">
        <f t="shared" si="2"/>
        <v>0</v>
      </c>
      <c r="AA88" s="35">
        <f t="shared" si="2"/>
        <v>0</v>
      </c>
      <c r="AB88" s="35">
        <f t="shared" si="2"/>
        <v>0</v>
      </c>
      <c r="AC88" s="35">
        <f t="shared" si="2"/>
        <v>0</v>
      </c>
      <c r="AD88" s="35">
        <f t="shared" si="2"/>
        <v>0</v>
      </c>
      <c r="AE88" s="35">
        <f t="shared" si="2"/>
        <v>0</v>
      </c>
      <c r="AF88" s="35">
        <f t="shared" si="2"/>
        <v>0</v>
      </c>
    </row>
    <row r="90" spans="1:32" x14ac:dyDescent="0.3">
      <c r="P90" s="14"/>
    </row>
  </sheetData>
  <mergeCells count="73">
    <mergeCell ref="AE30:AF30"/>
    <mergeCell ref="AA30:AB30"/>
    <mergeCell ref="AA31:AB31"/>
    <mergeCell ref="AA32:AB32"/>
    <mergeCell ref="AA33:AB33"/>
    <mergeCell ref="AC30:AD30"/>
    <mergeCell ref="AC31:AD31"/>
    <mergeCell ref="AC32:AD32"/>
    <mergeCell ref="AC33:AD33"/>
    <mergeCell ref="AE31:AF31"/>
    <mergeCell ref="AE32:AF32"/>
    <mergeCell ref="AE33:AF33"/>
    <mergeCell ref="Y30:Z30"/>
    <mergeCell ref="Y31:Z31"/>
    <mergeCell ref="Y37:Z37"/>
    <mergeCell ref="W30:X30"/>
    <mergeCell ref="W31:X31"/>
    <mergeCell ref="W32:X32"/>
    <mergeCell ref="W33:X33"/>
    <mergeCell ref="W34:X34"/>
    <mergeCell ref="Y32:Z32"/>
    <mergeCell ref="Y33:Z33"/>
    <mergeCell ref="Y34:Z34"/>
    <mergeCell ref="Y38:Z38"/>
    <mergeCell ref="Y39:Z39"/>
    <mergeCell ref="Y40:Z40"/>
    <mergeCell ref="W35:X35"/>
    <mergeCell ref="W36:X36"/>
    <mergeCell ref="W37:X37"/>
    <mergeCell ref="W38:X38"/>
    <mergeCell ref="W39:X39"/>
    <mergeCell ref="Y35:Z35"/>
    <mergeCell ref="Y36:Z36"/>
    <mergeCell ref="W40:X40"/>
    <mergeCell ref="J30:L30"/>
    <mergeCell ref="J32:L32"/>
    <mergeCell ref="J35:L35"/>
    <mergeCell ref="O38:P38"/>
    <mergeCell ref="Q38:R38"/>
    <mergeCell ref="AA35:AB35"/>
    <mergeCell ref="AA36:AB36"/>
    <mergeCell ref="AA37:AB37"/>
    <mergeCell ref="AA38:AB38"/>
    <mergeCell ref="AC34:AD34"/>
    <mergeCell ref="AC35:AD35"/>
    <mergeCell ref="AC36:AD36"/>
    <mergeCell ref="AC37:AD37"/>
    <mergeCell ref="AC38:AD38"/>
    <mergeCell ref="AA34:AB34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78:B78"/>
    <mergeCell ref="A79:B79"/>
    <mergeCell ref="AC39:AD39"/>
    <mergeCell ref="AC40:AD40"/>
    <mergeCell ref="O40:R40"/>
    <mergeCell ref="AA39:AB39"/>
    <mergeCell ref="AA40:AB40"/>
    <mergeCell ref="A80:B80"/>
    <mergeCell ref="A81:B81"/>
    <mergeCell ref="AC41:AD41"/>
    <mergeCell ref="A87:B87"/>
    <mergeCell ref="A82:B82"/>
    <mergeCell ref="A83:B83"/>
    <mergeCell ref="A84:B84"/>
    <mergeCell ref="A85:B85"/>
    <mergeCell ref="A86:B86"/>
  </mergeCells>
  <phoneticPr fontId="1"/>
  <pageMargins left="0.70866141732283472" right="0.31496062992125984" top="0.35433070866141736" bottom="0.15748031496062992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Module1.SetG0">
                <anchor moveWithCells="1">
                  <from>
                    <xdr:col>1</xdr:col>
                    <xdr:colOff>180975</xdr:colOff>
                    <xdr:row>29</xdr:row>
                    <xdr:rowOff>133350</xdr:rowOff>
                  </from>
                  <to>
                    <xdr:col>7</xdr:col>
                    <xdr:colOff>57150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 macro="[0]!Module1.SetG1">
                <anchor moveWithCells="1">
                  <from>
                    <xdr:col>1</xdr:col>
                    <xdr:colOff>180975</xdr:colOff>
                    <xdr:row>31</xdr:row>
                    <xdr:rowOff>9525</xdr:rowOff>
                  </from>
                  <to>
                    <xdr:col>7</xdr:col>
                    <xdr:colOff>57150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Group Box 3">
              <controlPr defaultSize="0" autoFill="0" autoPict="0">
                <anchor moveWithCells="1">
                  <from>
                    <xdr:col>1</xdr:col>
                    <xdr:colOff>85725</xdr:colOff>
                    <xdr:row>29</xdr:row>
                    <xdr:rowOff>9525</xdr:rowOff>
                  </from>
                  <to>
                    <xdr:col>7</xdr:col>
                    <xdr:colOff>142875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Group Box 11">
              <controlPr defaultSize="0" autoFill="0" autoPict="0">
                <anchor moveWithCells="1">
                  <from>
                    <xdr:col>1</xdr:col>
                    <xdr:colOff>85725</xdr:colOff>
                    <xdr:row>34</xdr:row>
                    <xdr:rowOff>19050</xdr:rowOff>
                  </from>
                  <to>
                    <xdr:col>7</xdr:col>
                    <xdr:colOff>142875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Option Button 12">
              <controlPr defaultSize="0" autoFill="0" autoLine="0" autoPict="0" macro="[0]!Module1.SetQ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7</xdr:col>
                    <xdr:colOff>66675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 macro="[0]!Module1.SetQ1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7</xdr:col>
                    <xdr:colOff>66675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Option Button 16">
              <controlPr defaultSize="0" autoFill="0" autoLine="0" autoPict="0" macro="[0]!Module1.SetQ2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7</xdr:col>
                    <xdr:colOff>66675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Option Button 17">
              <controlPr defaultSize="0" autoFill="0" autoLine="0" autoPict="0" macro="[0]!Module1.SetQ3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7</xdr:col>
                    <xdr:colOff>66675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autoFill="0" autoPict="0" macro="[0]!Module1.Init">
                <anchor moveWithCells="1">
                  <from>
                    <xdr:col>14</xdr:col>
                    <xdr:colOff>66675</xdr:colOff>
                    <xdr:row>29</xdr:row>
                    <xdr:rowOff>0</xdr:rowOff>
                  </from>
                  <to>
                    <xdr:col>17</xdr:col>
                    <xdr:colOff>104775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autoFill="0" autoPict="0" macro="[0]!_xludf.Exec">
                <anchor moveWithCells="1">
                  <from>
                    <xdr:col>14</xdr:col>
                    <xdr:colOff>66675</xdr:colOff>
                    <xdr:row>33</xdr:row>
                    <xdr:rowOff>28575</xdr:rowOff>
                  </from>
                  <to>
                    <xdr:col>17</xdr:col>
                    <xdr:colOff>104775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autoFill="0" autoPict="0" macro="[0]!Reset">
                <anchor moveWithCells="1">
                  <from>
                    <xdr:col>14</xdr:col>
                    <xdr:colOff>66675</xdr:colOff>
                    <xdr:row>31</xdr:row>
                    <xdr:rowOff>0</xdr:rowOff>
                  </from>
                  <to>
                    <xdr:col>17</xdr:col>
                    <xdr:colOff>104775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추적 문제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2015-04-28T11:04:40Z</cp:lastPrinted>
  <dcterms:created xsi:type="dcterms:W3CDTF">2015-04-13T06:03:10Z</dcterms:created>
  <dcterms:modified xsi:type="dcterms:W3CDTF">2016-11-21T07:33:03Z</dcterms:modified>
</cp:coreProperties>
</file>