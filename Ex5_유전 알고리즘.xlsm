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강의\2017\교안\XLS\배포본(한글주석)\"/>
    </mc:Choice>
  </mc:AlternateContent>
  <bookViews>
    <workbookView xWindow="0" yWindow="0" windowWidth="21285" windowHeight="11220"/>
  </bookViews>
  <sheets>
    <sheet name="재산분배" sheetId="1" r:id="rId1"/>
  </sheets>
  <calcPr calcId="162913"/>
</workbook>
</file>

<file path=xl/calcChain.xml><?xml version="1.0" encoding="utf-8"?>
<calcChain xmlns="http://schemas.openxmlformats.org/spreadsheetml/2006/main">
  <c r="B91" i="1" l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C91" i="1"/>
  <c r="Q81" i="1" l="1"/>
  <c r="O81" i="1"/>
  <c r="M81" i="1"/>
  <c r="K81" i="1"/>
  <c r="I81" i="1"/>
  <c r="G81" i="1"/>
  <c r="E81" i="1"/>
  <c r="AD49" i="1"/>
  <c r="C81" i="1"/>
  <c r="Y52" i="1"/>
  <c r="Y51" i="1"/>
  <c r="G86" i="1"/>
  <c r="G85" i="1"/>
  <c r="AE49" i="1"/>
  <c r="AC49" i="1"/>
  <c r="AB49" i="1"/>
  <c r="AA49" i="1"/>
  <c r="Y49" i="1"/>
  <c r="X49" i="1"/>
  <c r="M83" i="1" l="1"/>
  <c r="E83" i="1"/>
  <c r="G83" i="1"/>
  <c r="Z49" i="1"/>
  <c r="C83" i="1"/>
  <c r="K83" i="1"/>
  <c r="Q83" i="1"/>
  <c r="I83" i="1"/>
  <c r="O83" i="1"/>
  <c r="L47" i="1"/>
  <c r="L48" i="1"/>
  <c r="L49" i="1"/>
  <c r="L50" i="1"/>
  <c r="L51" i="1"/>
  <c r="L52" i="1"/>
  <c r="L53" i="1"/>
  <c r="L46" i="1"/>
  <c r="I53" i="1" l="1"/>
  <c r="H53" i="1"/>
  <c r="G53" i="1"/>
  <c r="F53" i="1"/>
  <c r="E53" i="1"/>
  <c r="D53" i="1"/>
  <c r="C53" i="1"/>
  <c r="B53" i="1"/>
  <c r="I52" i="1"/>
  <c r="H52" i="1"/>
  <c r="G52" i="1"/>
  <c r="F52" i="1"/>
  <c r="E52" i="1"/>
  <c r="D52" i="1"/>
  <c r="C52" i="1"/>
  <c r="B52" i="1"/>
  <c r="I51" i="1"/>
  <c r="H51" i="1"/>
  <c r="G51" i="1"/>
  <c r="F51" i="1"/>
  <c r="E51" i="1"/>
  <c r="D51" i="1"/>
  <c r="C51" i="1"/>
  <c r="B51" i="1"/>
  <c r="I50" i="1"/>
  <c r="H50" i="1"/>
  <c r="G50" i="1"/>
  <c r="F50" i="1"/>
  <c r="E50" i="1"/>
  <c r="D50" i="1"/>
  <c r="C50" i="1"/>
  <c r="B50" i="1"/>
  <c r="I49" i="1"/>
  <c r="H49" i="1"/>
  <c r="G49" i="1"/>
  <c r="F49" i="1"/>
  <c r="E49" i="1"/>
  <c r="D49" i="1"/>
  <c r="C49" i="1"/>
  <c r="B49" i="1"/>
  <c r="I48" i="1"/>
  <c r="H48" i="1"/>
  <c r="G48" i="1"/>
  <c r="F48" i="1"/>
  <c r="E48" i="1"/>
  <c r="D48" i="1"/>
  <c r="C48" i="1"/>
  <c r="B48" i="1"/>
  <c r="I47" i="1"/>
  <c r="H47" i="1"/>
  <c r="G47" i="1"/>
  <c r="F47" i="1"/>
  <c r="E47" i="1"/>
  <c r="D47" i="1"/>
  <c r="C47" i="1"/>
  <c r="B47" i="1"/>
  <c r="I46" i="1"/>
  <c r="H46" i="1"/>
  <c r="G46" i="1"/>
  <c r="F46" i="1"/>
  <c r="E46" i="1"/>
  <c r="D46" i="1"/>
  <c r="C46" i="1"/>
  <c r="B46" i="1"/>
  <c r="Q9" i="1" l="1"/>
  <c r="O9" i="1"/>
  <c r="M9" i="1"/>
  <c r="K9" i="1"/>
  <c r="I9" i="1"/>
  <c r="G9" i="1"/>
  <c r="E9" i="1"/>
  <c r="C9" i="1"/>
  <c r="C82" i="1" s="1"/>
  <c r="AB48" i="1" l="1"/>
  <c r="K82" i="1"/>
  <c r="Y48" i="1"/>
  <c r="E82" i="1"/>
  <c r="AC48" i="1"/>
  <c r="M82" i="1"/>
  <c r="Z48" i="1"/>
  <c r="G82" i="1"/>
  <c r="AD48" i="1"/>
  <c r="O82" i="1"/>
  <c r="AA48" i="1"/>
  <c r="I82" i="1"/>
  <c r="AE48" i="1"/>
  <c r="Q82" i="1"/>
  <c r="I74" i="1"/>
  <c r="N86" i="1"/>
  <c r="N85" i="1"/>
  <c r="X48" i="1"/>
  <c r="AD52" i="1"/>
  <c r="AD51" i="1"/>
  <c r="C94" i="1" l="1"/>
  <c r="G94" i="1"/>
  <c r="K94" i="1"/>
  <c r="O94" i="1"/>
  <c r="S94" i="1"/>
  <c r="W94" i="1"/>
  <c r="AA94" i="1"/>
  <c r="AE94" i="1"/>
  <c r="D94" i="1"/>
  <c r="H94" i="1"/>
  <c r="L94" i="1"/>
  <c r="P94" i="1"/>
  <c r="T94" i="1"/>
  <c r="X94" i="1"/>
  <c r="AB94" i="1"/>
  <c r="B94" i="1"/>
  <c r="E94" i="1"/>
  <c r="I94" i="1"/>
  <c r="M94" i="1"/>
  <c r="Q94" i="1"/>
  <c r="U94" i="1"/>
  <c r="Y94" i="1"/>
  <c r="AC94" i="1"/>
  <c r="F94" i="1"/>
  <c r="J94" i="1"/>
  <c r="N94" i="1"/>
  <c r="R94" i="1"/>
  <c r="V94" i="1"/>
  <c r="Z94" i="1"/>
  <c r="AD94" i="1"/>
</calcChain>
</file>

<file path=xl/sharedStrings.xml><?xml version="1.0" encoding="utf-8"?>
<sst xmlns="http://schemas.openxmlformats.org/spreadsheetml/2006/main" count="141" uniqueCount="85">
  <si>
    <t>No.</t>
    <phoneticPr fontId="1"/>
  </si>
  <si>
    <t>A</t>
    <phoneticPr fontId="1"/>
  </si>
  <si>
    <t>D</t>
    <phoneticPr fontId="1"/>
  </si>
  <si>
    <t>A</t>
    <phoneticPr fontId="1"/>
  </si>
  <si>
    <t>B</t>
    <phoneticPr fontId="1"/>
  </si>
  <si>
    <t>C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</si>
  <si>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</si>
  <si>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</si>
  <si>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</si>
  <si>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</si>
  <si>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M1</t>
    <phoneticPr fontId="1"/>
  </si>
  <si>
    <t>M2</t>
    <phoneticPr fontId="1"/>
  </si>
  <si>
    <t>M3</t>
    <phoneticPr fontId="1"/>
  </si>
  <si>
    <t>M4</t>
    <phoneticPr fontId="1"/>
  </si>
  <si>
    <t>交叉点設定</t>
    <rPh sb="0" eb="3">
      <t>コウサテン</t>
    </rPh>
    <rPh sb="3" eb="5">
      <t>セッテイ</t>
    </rPh>
    <phoneticPr fontId="1"/>
  </si>
  <si>
    <t>初期集団生成</t>
    <rPh sb="0" eb="2">
      <t>ショキ</t>
    </rPh>
    <rPh sb="2" eb="4">
      <t>シュウダン</t>
    </rPh>
    <rPh sb="4" eb="6">
      <t>セイセイ</t>
    </rPh>
    <phoneticPr fontId="1"/>
  </si>
  <si>
    <t>G1</t>
    <phoneticPr fontId="1"/>
  </si>
  <si>
    <t>G2</t>
    <phoneticPr fontId="1"/>
  </si>
  <si>
    <t>G3</t>
    <phoneticPr fontId="1"/>
  </si>
  <si>
    <t>G4</t>
    <phoneticPr fontId="1"/>
  </si>
  <si>
    <t>G5</t>
    <phoneticPr fontId="1"/>
  </si>
  <si>
    <t>G6</t>
    <phoneticPr fontId="1"/>
  </si>
  <si>
    <t>G7</t>
    <phoneticPr fontId="1"/>
  </si>
  <si>
    <t>G8</t>
    <phoneticPr fontId="1"/>
  </si>
  <si>
    <t>適応度評価</t>
    <rPh sb="0" eb="3">
      <t>テキオウド</t>
    </rPh>
    <rPh sb="3" eb="5">
      <t>ヒョウカ</t>
    </rPh>
    <phoneticPr fontId="1"/>
  </si>
  <si>
    <t>GA実行</t>
    <rPh sb="2" eb="4">
      <t>ジッコウ</t>
    </rPh>
    <phoneticPr fontId="1"/>
  </si>
  <si>
    <t>財産価値設定</t>
    <rPh sb="0" eb="2">
      <t>ザイサン</t>
    </rPh>
    <rPh sb="2" eb="4">
      <t>カチ</t>
    </rPh>
    <rPh sb="4" eb="6">
      <t>セッテイ</t>
    </rPh>
    <phoneticPr fontId="1"/>
  </si>
  <si>
    <t>相続比率設定</t>
    <rPh sb="0" eb="2">
      <t>ソウゾク</t>
    </rPh>
    <rPh sb="2" eb="4">
      <t>ヒリツ</t>
    </rPh>
    <rPh sb="4" eb="6">
      <t>セッテイ</t>
    </rPh>
    <phoneticPr fontId="1"/>
  </si>
  <si>
    <t>clear</t>
    <phoneticPr fontId="1"/>
  </si>
  <si>
    <t>交叉</t>
    <rPh sb="0" eb="2">
      <t>コウサ</t>
    </rPh>
    <phoneticPr fontId="1"/>
  </si>
  <si>
    <t>G6</t>
    <phoneticPr fontId="1"/>
  </si>
  <si>
    <t>Pair</t>
    <phoneticPr fontId="1"/>
  </si>
  <si>
    <t>突然変異</t>
    <rPh sb="0" eb="2">
      <t>トツゼン</t>
    </rPh>
    <rPh sb="2" eb="4">
      <t>ヘンイ</t>
    </rPh>
    <phoneticPr fontId="1"/>
  </si>
  <si>
    <t>ε-line</t>
    <phoneticPr fontId="1"/>
  </si>
  <si>
    <t>　</t>
    <phoneticPr fontId="1"/>
  </si>
  <si>
    <t>Copyright© 2015　ASAI Noboru</t>
    <phoneticPr fontId="1"/>
  </si>
  <si>
    <t>Ex.5 유전 알고리즘에 의한 재산 분배</t>
    <rPh sb="5" eb="8">
      <t>イデンテキ</t>
    </rPh>
    <rPh sb="17" eb="19">
      <t>ザイサン</t>
    </rPh>
    <rPh sb="19" eb="20">
      <t>ワ</t>
    </rPh>
    <phoneticPr fontId="1"/>
  </si>
  <si>
    <t>전체 초기화</t>
    <rPh sb="0" eb="1">
      <t>ゼン</t>
    </rPh>
    <phoneticPr fontId="1"/>
  </si>
  <si>
    <t>가치</t>
    <rPh sb="0" eb="2">
      <t>カチ</t>
    </rPh>
    <phoneticPr fontId="1"/>
  </si>
  <si>
    <t>상속인</t>
    <rPh sb="0" eb="2">
      <t>ソウゾク</t>
    </rPh>
    <rPh sb="2" eb="3">
      <t>ニン</t>
    </rPh>
    <phoneticPr fontId="1"/>
  </si>
  <si>
    <t>상속액</t>
    <rPh sb="0" eb="2">
      <t>ソウゾク</t>
    </rPh>
    <rPh sb="2" eb="3">
      <t>ガク</t>
    </rPh>
    <phoneticPr fontId="1"/>
  </si>
  <si>
    <t>재산 가치를 자동 설정</t>
    <rPh sb="0" eb="2">
      <t>ザイサン</t>
    </rPh>
    <rPh sb="2" eb="4">
      <t>カチ</t>
    </rPh>
    <rPh sb="5" eb="7">
      <t>ジドウ</t>
    </rPh>
    <rPh sb="7" eb="9">
      <t>セッテイ</t>
    </rPh>
    <phoneticPr fontId="1"/>
  </si>
  <si>
    <t>상속 비율을 자동 설정</t>
    <rPh sb="0" eb="2">
      <t>ソウゾク</t>
    </rPh>
    <rPh sb="2" eb="4">
      <t>ヒリツ</t>
    </rPh>
    <rPh sb="5" eb="7">
      <t>ジドウ</t>
    </rPh>
    <rPh sb="7" eb="9">
      <t>セッテイ</t>
    </rPh>
    <phoneticPr fontId="1"/>
  </si>
  <si>
    <t>주) 유전자수는 8 이하의 짝수로 지정</t>
    <rPh sb="0" eb="1">
      <t>チュウ</t>
    </rPh>
    <rPh sb="2" eb="5">
      <t>イデンシ</t>
    </rPh>
    <rPh sb="5" eb="6">
      <t>スウ</t>
    </rPh>
    <rPh sb="10" eb="12">
      <t>イカ</t>
    </rPh>
    <rPh sb="13" eb="15">
      <t>グウスウ</t>
    </rPh>
    <rPh sb="16" eb="18">
      <t>シテイ</t>
    </rPh>
    <phoneticPr fontId="1"/>
  </si>
  <si>
    <t>또는 직접 아래의 마스크 패턴을 입력해도 좋다.</t>
    <rPh sb="3" eb="5">
      <t>チョクセツ</t>
    </rPh>
    <rPh sb="6" eb="8">
      <t>カキ</t>
    </rPh>
    <rPh sb="16" eb="18">
      <t>ニュウリョク</t>
    </rPh>
    <phoneticPr fontId="1"/>
  </si>
  <si>
    <t>유전자 초기 집단</t>
    <rPh sb="0" eb="3">
      <t>イデンシ</t>
    </rPh>
    <rPh sb="3" eb="5">
      <t>ショキ</t>
    </rPh>
    <rPh sb="5" eb="7">
      <t>シュウダン</t>
    </rPh>
    <phoneticPr fontId="1"/>
  </si>
  <si>
    <t>억엔</t>
    <rPh sb="0" eb="2">
      <t>オクエン</t>
    </rPh>
    <phoneticPr fontId="1"/>
  </si>
  <si>
    <t>적응도</t>
    <rPh sb="0" eb="3">
      <t>テキオウド</t>
    </rPh>
    <phoneticPr fontId="1"/>
  </si>
  <si>
    <t>순위</t>
    <rPh sb="0" eb="2">
      <t>ジュンイ</t>
    </rPh>
    <phoneticPr fontId="1"/>
  </si>
  <si>
    <t>최적해</t>
    <rPh sb="0" eb="2">
      <t>サイリョウ</t>
    </rPh>
    <rPh sb="2" eb="3">
      <t>カイ</t>
    </rPh>
    <phoneticPr fontId="1"/>
  </si>
  <si>
    <t>차이</t>
    <rPh sb="0" eb="2">
      <t>サブン</t>
    </rPh>
    <phoneticPr fontId="1"/>
  </si>
  <si>
    <t>최고 적응도</t>
    <rPh sb="0" eb="2">
      <t>サイコウ</t>
    </rPh>
    <rPh sb="2" eb="5">
      <t>テキオウド</t>
    </rPh>
    <phoneticPr fontId="1"/>
  </si>
  <si>
    <t>평균 적응도</t>
    <rPh sb="0" eb="2">
      <t>ヘイキン</t>
    </rPh>
    <rPh sb="2" eb="5">
      <t>テキオウド</t>
    </rPh>
    <phoneticPr fontId="1"/>
  </si>
  <si>
    <t>오차율</t>
    <rPh sb="0" eb="2">
      <t>ゴサ</t>
    </rPh>
    <rPh sb="2" eb="3">
      <t>リツ</t>
    </rPh>
    <phoneticPr fontId="1"/>
  </si>
  <si>
    <t>주) 적응도/총액</t>
    <rPh sb="0" eb="1">
      <t>チュウ</t>
    </rPh>
    <rPh sb="2" eb="5">
      <t>テキオウド</t>
    </rPh>
    <rPh sb="6" eb="8">
      <t>ソウガク</t>
    </rPh>
    <phoneticPr fontId="1"/>
  </si>
  <si>
    <t>유전 알고리즘의 연속 실행</t>
    <rPh sb="0" eb="3">
      <t>イデンテキ</t>
    </rPh>
    <rPh sb="10" eb="12">
      <t>レンゾク</t>
    </rPh>
    <rPh sb="12" eb="14">
      <t>ジッコウ</t>
    </rPh>
    <phoneticPr fontId="1"/>
  </si>
  <si>
    <t xml:space="preserve"> 　　ε에 상응하는 적응도</t>
    <rPh sb="5" eb="7">
      <t>ソウトウ</t>
    </rPh>
    <rPh sb="9" eb="12">
      <t>テキオウド</t>
    </rPh>
    <phoneticPr fontId="1"/>
  </si>
  <si>
    <t>③ 돌연변이 간격(W)</t>
    <rPh sb="1" eb="3">
      <t>トツゼン</t>
    </rPh>
    <rPh sb="3" eb="5">
      <t>ヘンイ</t>
    </rPh>
    <rPh sb="5" eb="7">
      <t>カンカク</t>
    </rPh>
    <phoneticPr fontId="1"/>
  </si>
  <si>
    <t>　　default : 0 (돌연변이 없음)</t>
    <rPh sb="15" eb="17">
      <t>トツゼン</t>
    </rPh>
    <rPh sb="17" eb="19">
      <t>ヘンイ</t>
    </rPh>
    <phoneticPr fontId="1"/>
  </si>
  <si>
    <t>돌연변이 간격(W)은 교차 횟수 W마다 돌연변이를 실시하며, 0은 돌연없이가 없다.</t>
    <rPh sb="0" eb="2">
      <t>トツゼン</t>
    </rPh>
    <rPh sb="2" eb="4">
      <t>ヘンイ</t>
    </rPh>
    <rPh sb="4" eb="6">
      <t>カンカク</t>
    </rPh>
    <rPh sb="10" eb="12">
      <t>コウサ</t>
    </rPh>
    <rPh sb="13" eb="14">
      <t>カイ</t>
    </rPh>
    <rPh sb="17" eb="19">
      <t>トツゼン</t>
    </rPh>
    <rPh sb="19" eb="21">
      <t>ヘンイ</t>
    </rPh>
    <rPh sb="21" eb="23">
      <t>ジッシ</t>
    </rPh>
    <rPh sb="26" eb="28">
      <t>トツゼン</t>
    </rPh>
    <rPh sb="28" eb="30">
      <t>ヘンイ</t>
    </rPh>
    <phoneticPr fontId="1"/>
  </si>
  <si>
    <t>GA 실행에 따른 적응도 변화는 아래에 기록</t>
    <rPh sb="13" eb="15">
      <t>カキ</t>
    </rPh>
    <rPh sb="16" eb="18">
      <t>キロク</t>
    </rPh>
    <phoneticPr fontId="1"/>
  </si>
  <si>
    <t>상속인</t>
    <rPh sb="1" eb="3">
      <t>ソウゾクニン</t>
    </rPh>
    <phoneticPr fontId="1"/>
  </si>
  <si>
    <t>상속액</t>
    <rPh sb="1" eb="3">
      <t>ソウゾクガク</t>
    </rPh>
    <phoneticPr fontId="1"/>
  </si>
  <si>
    <t>비율 차이</t>
    <rPh sb="1" eb="3">
      <t>ヒリツ</t>
    </rPh>
    <rPh sb="3" eb="4">
      <t>サ</t>
    </rPh>
    <phoneticPr fontId="1"/>
  </si>
  <si>
    <t>ε 횟수</t>
    <rPh sb="1" eb="3">
      <t>カイスウ</t>
    </rPh>
    <phoneticPr fontId="1"/>
  </si>
  <si>
    <t xml:space="preserve"> (오차율이 ε 이하가 될 때까지의 GA 횟수)</t>
    <rPh sb="1" eb="3">
      <t>ゴサ</t>
    </rPh>
    <rPh sb="3" eb="4">
      <t>リツ</t>
    </rPh>
    <phoneticPr fontId="1"/>
  </si>
  <si>
    <t>교차 횟수에 따른 적응도 변화</t>
    <rPh sb="0" eb="2">
      <t>コウサ</t>
    </rPh>
    <rPh sb="2" eb="4">
      <t>カイスウ</t>
    </rPh>
    <rPh sb="7" eb="10">
      <t>テキオウド</t>
    </rPh>
    <rPh sb="10" eb="12">
      <t>ヘンカ</t>
    </rPh>
    <phoneticPr fontId="1"/>
  </si>
  <si>
    <t>횟수</t>
    <rPh sb="0" eb="2">
      <t>カイスウ</t>
    </rPh>
    <phoneticPr fontId="1"/>
  </si>
  <si>
    <t>적응도 평균</t>
    <rPh sb="0" eb="3">
      <t>テキオウド</t>
    </rPh>
    <rPh sb="3" eb="5">
      <t>ヘイキン</t>
    </rPh>
    <phoneticPr fontId="1"/>
  </si>
  <si>
    <t>적응도 최고</t>
    <rPh sb="0" eb="3">
      <t>テキオウド</t>
    </rPh>
    <rPh sb="3" eb="5">
      <t>サイコウ</t>
    </rPh>
    <phoneticPr fontId="1"/>
  </si>
  <si>
    <r>
      <t xml:space="preserve">①～③ 입력후, </t>
    </r>
    <r>
      <rPr>
        <sz val="10"/>
        <color rgb="FF0000FF"/>
        <rFont val="맑은 고딕"/>
        <family val="3"/>
        <charset val="129"/>
        <scheme val="minor"/>
      </rPr>
      <t>GA 실행 버튼</t>
    </r>
    <r>
      <rPr>
        <sz val="10"/>
        <color theme="1"/>
        <rFont val="맑은 고딕"/>
        <family val="2"/>
        <charset val="128"/>
        <scheme val="minor"/>
      </rPr>
      <t>을 누른다.</t>
    </r>
    <phoneticPr fontId="1"/>
  </si>
  <si>
    <t>재산(단위 : 억원)</t>
    <rPh sb="0" eb="2">
      <t>ザイサン</t>
    </rPh>
    <rPh sb="3" eb="5">
      <t>タンイ</t>
    </rPh>
    <rPh sb="6" eb="8">
      <t>オクエン</t>
    </rPh>
    <phoneticPr fontId="1"/>
  </si>
  <si>
    <t>상속 비율</t>
    <rPh sb="0" eb="2">
      <t>ソウゾク</t>
    </rPh>
    <rPh sb="2" eb="4">
      <t>ヒリツ</t>
    </rPh>
    <phoneticPr fontId="1"/>
  </si>
  <si>
    <t>유전자 수</t>
    <rPh sb="0" eb="3">
      <t>イデンシ</t>
    </rPh>
    <rPh sb="3" eb="4">
      <t>スウ</t>
    </rPh>
    <phoneticPr fontId="1"/>
  </si>
  <si>
    <t>교차점(오른쪽 끝부터 교차 요소 수)</t>
    <rPh sb="0" eb="2">
      <t>コウサ</t>
    </rPh>
    <rPh sb="2" eb="3">
      <t>テン</t>
    </rPh>
    <rPh sb="4" eb="6">
      <t>ウタン</t>
    </rPh>
    <rPh sb="9" eb="11">
      <t>コウサ</t>
    </rPh>
    <rPh sb="11" eb="13">
      <t>ヨウソ</t>
    </rPh>
    <rPh sb="13" eb="14">
      <t>スウ</t>
    </rPh>
    <phoneticPr fontId="1"/>
  </si>
  <si>
    <t>마스크 패턴(유전자 수의 반만 패턴 설정)</t>
    <rPh sb="8" eb="11">
      <t>イデンシ</t>
    </rPh>
    <rPh sb="11" eb="12">
      <t>スウ</t>
    </rPh>
    <rPh sb="13" eb="15">
      <t>ハンスウセッテイ</t>
    </rPh>
    <phoneticPr fontId="1"/>
  </si>
  <si>
    <t>교차 전(이전 교차 후의 유전자 집단. 적응도를 평가한 후 색이 칠해져 있는 행이 적응도가 최고인 행. 적응도가 최저인 것은 최고인 것으로 교체된다.)</t>
    <rPh sb="0" eb="2">
      <t>コウサ</t>
    </rPh>
    <rPh sb="2" eb="3">
      <t>マエ</t>
    </rPh>
    <rPh sb="4" eb="6">
      <t>イッカイ</t>
    </rPh>
    <rPh sb="6" eb="7">
      <t>マエ</t>
    </rPh>
    <rPh sb="8" eb="10">
      <t>コウサ</t>
    </rPh>
    <rPh sb="10" eb="11">
      <t>ゴ</t>
    </rPh>
    <rPh sb="12" eb="15">
      <t>イデンシ</t>
    </rPh>
    <rPh sb="15" eb="17">
      <t>シュウダン</t>
    </rPh>
    <rPh sb="18" eb="21">
      <t>テキオウド</t>
    </rPh>
    <rPh sb="21" eb="23">
      <t>ヒョウカ</t>
    </rPh>
    <rPh sb="23" eb="24">
      <t>ゴ</t>
    </rPh>
    <rPh sb="25" eb="27">
      <t>イロヅ</t>
    </rPh>
    <rPh sb="29" eb="30">
      <t>ギョウ</t>
    </rPh>
    <rPh sb="31" eb="34">
      <t>テキオウド</t>
    </rPh>
    <rPh sb="34" eb="36">
      <t>サイコウ</t>
    </rPh>
    <rPh sb="37" eb="40">
      <t>テキオウド</t>
    </rPh>
    <rPh sb="40" eb="42">
      <t>サイテイ</t>
    </rPh>
    <rPh sb="46" eb="48">
      <t>サイコウ</t>
    </rPh>
    <rPh sb="52" eb="53">
      <t>オ</t>
    </rPh>
    <rPh sb="53" eb="54">
      <t>カ</t>
    </rPh>
    <phoneticPr fontId="1"/>
  </si>
  <si>
    <r>
      <t>적응도 평가(각 상속액과의 차이 절댓값의 합이 작을수록 적응도가 높다.)</t>
    </r>
    <r>
      <rPr>
        <sz val="9"/>
        <color theme="1"/>
        <rFont val="맑은 고딕"/>
        <family val="3"/>
        <charset val="128"/>
        <scheme val="minor"/>
      </rPr>
      <t>　주</t>
    </r>
    <r>
      <rPr>
        <sz val="9"/>
        <color theme="1"/>
        <rFont val="맑은 고딕"/>
        <family val="2"/>
        <charset val="128"/>
        <scheme val="minor"/>
      </rPr>
      <t>) 적응도가 최저인 것은 최고인 것으로 교체되지만 적응도는 이전 값</t>
    </r>
    <rPh sb="0" eb="3">
      <t>テキオウド</t>
    </rPh>
    <rPh sb="3" eb="5">
      <t>ヒョウカ</t>
    </rPh>
    <rPh sb="6" eb="7">
      <t>カク</t>
    </rPh>
    <rPh sb="7" eb="9">
      <t>ソウゾク</t>
    </rPh>
    <rPh sb="9" eb="10">
      <t>ガク</t>
    </rPh>
    <rPh sb="13" eb="15">
      <t>サブン</t>
    </rPh>
    <rPh sb="15" eb="18">
      <t>ゼッタイチ</t>
    </rPh>
    <rPh sb="19" eb="20">
      <t>ワ</t>
    </rPh>
    <rPh sb="21" eb="22">
      <t>チイ</t>
    </rPh>
    <rPh sb="26" eb="29">
      <t>テキオウド</t>
    </rPh>
    <rPh sb="30" eb="31">
      <t>タカ</t>
    </rPh>
    <rPh sb="34" eb="35">
      <t>チュウ</t>
    </rPh>
    <rPh sb="36" eb="39">
      <t>テキオウド</t>
    </rPh>
    <rPh sb="39" eb="41">
      <t>サイテイ</t>
    </rPh>
    <rPh sb="45" eb="47">
      <t>サイコウ</t>
    </rPh>
    <rPh sb="51" eb="52">
      <t>オ</t>
    </rPh>
    <rPh sb="53" eb="54">
      <t>カ</t>
    </rPh>
    <rPh sb="60" eb="63">
      <t>テキオウド</t>
    </rPh>
    <rPh sb="64" eb="65">
      <t>キュウ</t>
    </rPh>
    <rPh sb="65" eb="66">
      <t>アタイ</t>
    </rPh>
    <phoneticPr fontId="1"/>
  </si>
  <si>
    <t>비율 차이</t>
    <rPh sb="0" eb="2">
      <t>ヒリツ</t>
    </rPh>
    <rPh sb="2" eb="3">
      <t>サ</t>
    </rPh>
    <phoneticPr fontId="1"/>
  </si>
  <si>
    <t>교차 후(엘리트 보존에 따라 적응도가 최저인 것 하나를 최고인 것으로 교체한 후, 순위에 따라 교차 쌍을 만들고 마스크 패턴에 따라 교차)</t>
    <rPh sb="0" eb="2">
      <t>コウサ</t>
    </rPh>
    <rPh sb="2" eb="3">
      <t>ゴ</t>
    </rPh>
    <rPh sb="8" eb="10">
      <t>ホゾン</t>
    </rPh>
    <rPh sb="14" eb="17">
      <t>テキオウド</t>
    </rPh>
    <rPh sb="17" eb="19">
      <t>サイテイ</t>
    </rPh>
    <rPh sb="22" eb="23">
      <t>ヒト</t>
    </rPh>
    <rPh sb="25" eb="27">
      <t>サイコウ</t>
    </rPh>
    <rPh sb="31" eb="32">
      <t>オ</t>
    </rPh>
    <rPh sb="33" eb="34">
      <t>カ</t>
    </rPh>
    <rPh sb="35" eb="36">
      <t>スミ</t>
    </rPh>
    <rPh sb="37" eb="39">
      <t>ジュンイ</t>
    </rPh>
    <rPh sb="40" eb="41">
      <t>モト</t>
    </rPh>
    <rPh sb="44" eb="46">
      <t>コウサ</t>
    </rPh>
    <rPh sb="61" eb="62">
      <t>シタガ</t>
    </rPh>
    <rPh sb="64" eb="66">
      <t>コウサ</t>
    </rPh>
    <phoneticPr fontId="1"/>
  </si>
  <si>
    <t>① 교차 횟수(Q) 입력</t>
    <rPh sb="1" eb="3">
      <t>コウサ</t>
    </rPh>
    <rPh sb="3" eb="5">
      <t>カイスウ</t>
    </rPh>
    <rPh sb="9" eb="11">
      <t>ニュウリョク</t>
    </rPh>
    <phoneticPr fontId="1"/>
  </si>
  <si>
    <t>② 허용 오차율(ε) 입력</t>
    <rPh sb="1" eb="3">
      <t>キョヨウ</t>
    </rPh>
    <rPh sb="3" eb="5">
      <t>ゴサ</t>
    </rPh>
    <rPh sb="5" eb="6">
      <t>リツ</t>
    </rPh>
    <rPh sb="10" eb="12">
      <t>ニュウリョク</t>
    </rPh>
    <phoneticPr fontId="1"/>
  </si>
  <si>
    <t>오차는 '적응도/상속 총액'으로 구하며, 허용오차(ε) 이하가 되면 성공</t>
    <rPh sb="0" eb="2">
      <t>ゴサ</t>
    </rPh>
    <rPh sb="4" eb="7">
      <t>テキオウド</t>
    </rPh>
    <rPh sb="8" eb="10">
      <t>ソウゾク</t>
    </rPh>
    <rPh sb="10" eb="12">
      <t>ソウガク</t>
    </rPh>
    <rPh sb="14" eb="15">
      <t>モト</t>
    </rPh>
    <rPh sb="17" eb="19">
      <t>キョヨウ</t>
    </rPh>
    <rPh sb="19" eb="21">
      <t>ゴサ</t>
    </rPh>
    <rPh sb="24" eb="26">
      <t>イカ</t>
    </rPh>
    <rPh sb="30" eb="32">
      <t>セイコウ</t>
    </rPh>
    <phoneticPr fontId="1"/>
  </si>
  <si>
    <r>
      <t>눈금 한 칸 P = Q/30</t>
    </r>
    <r>
      <rPr>
        <sz val="9"/>
        <color theme="1"/>
        <rFont val="맑은 고딕"/>
        <family val="3"/>
        <charset val="128"/>
        <scheme val="minor"/>
      </rPr>
      <t>　(GA 반복 P회마다 최고 적응도, 평균 적응도 기록)</t>
    </r>
    <rPh sb="1" eb="3">
      <t>メモ</t>
    </rPh>
    <rPh sb="20" eb="22">
      <t>バアイ</t>
    </rPh>
    <rPh sb="26" eb="29">
      <t>ショウスウテン</t>
    </rPh>
    <rPh sb="29" eb="31">
      <t>イカ</t>
    </rPh>
    <rPh sb="32" eb="33">
      <t>キ</t>
    </rPh>
    <rPh sb="34" eb="35">
      <t>ア</t>
    </rPh>
    <rPh sb="40" eb="42">
      <t>クリカエ</t>
    </rPh>
    <rPh sb="45" eb="46">
      <t>カイサイコウテキオウドヘイキンテキオウドキロク</t>
    </rPh>
    <phoneticPr fontId="1"/>
  </si>
  <si>
    <t>최고 적응도</t>
    <rPh sb="0" eb="2">
      <t>サイシュウ</t>
    </rPh>
    <rPh sb="2" eb="5">
      <t>テキオウド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</si>
</sst>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15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sz val="8"/>
      <color theme="1"/>
      <name val="맑은 고딕"/>
      <family val="2"/>
      <charset val="128"/>
      <scheme val="minor"/>
    </font>
    <font>
      <sz val="10"/>
      <color theme="1"/>
      <name val="맑은 고딕"/>
      <family val="3"/>
      <charset val="128"/>
      <scheme val="minor"/>
    </font>
    <font>
      <sz val="8"/>
      <color theme="1"/>
      <name val="맑은 고딕"/>
      <family val="3"/>
      <charset val="128"/>
      <scheme val="minor"/>
    </font>
    <font>
      <sz val="9"/>
      <color theme="1"/>
      <name val="맑은 고딕"/>
      <family val="3"/>
      <charset val="128"/>
      <scheme val="minor"/>
    </font>
    <font>
      <sz val="9"/>
      <color theme="1"/>
      <name val="맑은 고딕"/>
      <family val="2"/>
      <charset val="128"/>
      <scheme val="minor"/>
    </font>
    <font>
      <sz val="6"/>
      <color theme="1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b/>
      <sz val="11"/>
      <color theme="1"/>
      <name val="맑은 고딕"/>
      <family val="3"/>
      <charset val="128"/>
      <scheme val="minor"/>
    </font>
    <font>
      <sz val="11"/>
      <color rgb="FF0000FF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</font>
    <font>
      <sz val="10"/>
      <color rgb="FF0000FF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3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2" xfId="0" applyFont="1" applyBorder="1">
      <alignment vertical="center"/>
    </xf>
    <xf numFmtId="0" fontId="3" fillId="0" borderId="4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0" xfId="0" applyFont="1" applyBorder="1">
      <alignment vertical="center"/>
    </xf>
    <xf numFmtId="0" fontId="5" fillId="0" borderId="0" xfId="0" applyFont="1" applyBorder="1">
      <alignment vertical="center"/>
    </xf>
    <xf numFmtId="0" fontId="2" fillId="0" borderId="3" xfId="0" applyFont="1" applyBorder="1">
      <alignment vertical="center"/>
    </xf>
    <xf numFmtId="0" fontId="0" fillId="0" borderId="2" xfId="0" applyBorder="1">
      <alignment vertical="center"/>
    </xf>
    <xf numFmtId="0" fontId="2" fillId="0" borderId="0" xfId="0" applyFont="1" applyFill="1" applyBorder="1">
      <alignment vertical="center"/>
    </xf>
    <xf numFmtId="0" fontId="6" fillId="0" borderId="0" xfId="0" applyFont="1">
      <alignment vertical="center"/>
    </xf>
    <xf numFmtId="0" fontId="0" fillId="2" borderId="1" xfId="0" applyFill="1" applyBorder="1">
      <alignment vertical="center"/>
    </xf>
    <xf numFmtId="0" fontId="7" fillId="0" borderId="0" xfId="0" applyFont="1" applyBorder="1">
      <alignment vertical="center"/>
    </xf>
    <xf numFmtId="176" fontId="8" fillId="0" borderId="1" xfId="0" applyNumberFormat="1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5" xfId="0" applyFill="1" applyBorder="1">
      <alignment vertical="center"/>
    </xf>
    <xf numFmtId="0" fontId="0" fillId="3" borderId="1" xfId="0" applyFill="1" applyBorder="1">
      <alignment vertical="center"/>
    </xf>
    <xf numFmtId="0" fontId="5" fillId="0" borderId="3" xfId="0" applyFont="1" applyBorder="1">
      <alignment vertical="center"/>
    </xf>
    <xf numFmtId="0" fontId="5" fillId="0" borderId="6" xfId="0" applyFont="1" applyBorder="1">
      <alignment vertical="center"/>
    </xf>
    <xf numFmtId="0" fontId="7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0" fontId="6" fillId="0" borderId="0" xfId="0" applyFont="1" applyBorder="1">
      <alignment vertical="center"/>
    </xf>
    <xf numFmtId="176" fontId="0" fillId="0" borderId="6" xfId="0" applyNumberFormat="1" applyFont="1" applyBorder="1" applyAlignment="1">
      <alignment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9" fontId="0" fillId="0" borderId="0" xfId="0" applyNumberFormat="1" applyFont="1" applyBorder="1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>
      <alignment vertical="center"/>
    </xf>
    <xf numFmtId="0" fontId="2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3" fillId="0" borderId="1" xfId="0" applyFont="1" applyBorder="1" applyAlignment="1">
      <alignment vertical="center"/>
    </xf>
    <xf numFmtId="0" fontId="7" fillId="0" borderId="3" xfId="0" applyFont="1" applyBorder="1">
      <alignment vertical="center"/>
    </xf>
    <xf numFmtId="0" fontId="12" fillId="0" borderId="3" xfId="0" applyFont="1" applyBorder="1">
      <alignment vertical="center"/>
    </xf>
    <xf numFmtId="176" fontId="0" fillId="0" borderId="3" xfId="0" applyNumberFormat="1" applyBorder="1" applyAlignment="1">
      <alignment vertical="center"/>
    </xf>
    <xf numFmtId="176" fontId="0" fillId="0" borderId="2" xfId="0" applyNumberFormat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2" borderId="3" xfId="0" applyNumberFormat="1" applyFill="1" applyBorder="1" applyAlignment="1">
      <alignment vertical="center"/>
    </xf>
    <xf numFmtId="9" fontId="0" fillId="2" borderId="2" xfId="0" applyNumberFormat="1" applyFill="1" applyBorder="1" applyAlignment="1">
      <alignment vertical="center"/>
    </xf>
    <xf numFmtId="176" fontId="0" fillId="0" borderId="3" xfId="0" applyNumberFormat="1" applyFill="1" applyBorder="1" applyAlignment="1">
      <alignment vertical="center"/>
    </xf>
    <xf numFmtId="176" fontId="0" fillId="0" borderId="2" xfId="0" applyNumberFormat="1" applyFill="1" applyBorder="1" applyAlignment="1">
      <alignment vertical="center"/>
    </xf>
    <xf numFmtId="9" fontId="0" fillId="0" borderId="3" xfId="0" applyNumberFormat="1" applyFont="1" applyBorder="1" applyAlignment="1">
      <alignment vertical="center"/>
    </xf>
    <xf numFmtId="9" fontId="0" fillId="0" borderId="2" xfId="0" applyNumberFormat="1" applyBorder="1" applyAlignment="1">
      <alignment vertical="center"/>
    </xf>
    <xf numFmtId="176" fontId="0" fillId="0" borderId="3" xfId="0" applyNumberFormat="1" applyFont="1" applyBorder="1" applyAlignment="1">
      <alignment vertical="center"/>
    </xf>
    <xf numFmtId="176" fontId="0" fillId="0" borderId="4" xfId="0" applyNumberFormat="1" applyFont="1" applyBorder="1" applyAlignment="1">
      <alignment vertical="center"/>
    </xf>
    <xf numFmtId="176" fontId="0" fillId="0" borderId="2" xfId="0" applyNumberFormat="1" applyFont="1" applyBorder="1" applyAlignment="1">
      <alignment vertical="center"/>
    </xf>
    <xf numFmtId="9" fontId="0" fillId="0" borderId="3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9" fontId="0" fillId="0" borderId="4" xfId="0" applyNumberFormat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9" fontId="0" fillId="2" borderId="3" xfId="0" applyNumberFormat="1" applyFont="1" applyFill="1" applyBorder="1" applyAlignment="1">
      <alignment vertical="center"/>
    </xf>
    <xf numFmtId="9" fontId="0" fillId="2" borderId="4" xfId="0" applyNumberFormat="1" applyFont="1" applyFill="1" applyBorder="1" applyAlignment="1">
      <alignment vertical="center"/>
    </xf>
    <xf numFmtId="9" fontId="0" fillId="2" borderId="2" xfId="0" applyNumberFormat="1" applyFont="1" applyFill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FFCC"/>
      <color rgb="FFFF6699"/>
      <color rgb="FF0000FF"/>
      <color rgb="FF996633"/>
      <color rgb="FF00FF00"/>
      <color rgb="FF66FF99"/>
      <color rgb="FF6699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재산분배!$A$92</c:f>
              <c:strCache>
                <c:ptCount val="1"/>
                <c:pt idx="0">
                  <c:v>적응도 최고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재산분배!$B$91:$AE$91</c:f>
              <c:numCache>
                <c:formatCode>0_ </c:formatCode>
                <c:ptCount val="30"/>
                <c:pt idx="0">
                  <c:v>3.3333333333333335</c:v>
                </c:pt>
                <c:pt idx="1">
                  <c:v>6.666666666666667</c:v>
                </c:pt>
                <c:pt idx="2">
                  <c:v>10</c:v>
                </c:pt>
                <c:pt idx="3">
                  <c:v>13.333333333333334</c:v>
                </c:pt>
                <c:pt idx="4">
                  <c:v>16.666666666666668</c:v>
                </c:pt>
                <c:pt idx="5">
                  <c:v>20</c:v>
                </c:pt>
                <c:pt idx="6">
                  <c:v>23.333333333333336</c:v>
                </c:pt>
                <c:pt idx="7">
                  <c:v>26.666666666666668</c:v>
                </c:pt>
                <c:pt idx="8">
                  <c:v>30</c:v>
                </c:pt>
                <c:pt idx="9">
                  <c:v>33.333333333333336</c:v>
                </c:pt>
                <c:pt idx="10">
                  <c:v>36.666666666666671</c:v>
                </c:pt>
                <c:pt idx="11">
                  <c:v>40</c:v>
                </c:pt>
                <c:pt idx="12">
                  <c:v>43.333333333333336</c:v>
                </c:pt>
                <c:pt idx="13">
                  <c:v>46.666666666666671</c:v>
                </c:pt>
                <c:pt idx="14">
                  <c:v>50</c:v>
                </c:pt>
                <c:pt idx="15">
                  <c:v>53.333333333333336</c:v>
                </c:pt>
                <c:pt idx="16">
                  <c:v>56.666666666666671</c:v>
                </c:pt>
                <c:pt idx="17">
                  <c:v>60</c:v>
                </c:pt>
                <c:pt idx="18">
                  <c:v>63.333333333333336</c:v>
                </c:pt>
                <c:pt idx="19">
                  <c:v>66.666666666666671</c:v>
                </c:pt>
                <c:pt idx="20">
                  <c:v>70</c:v>
                </c:pt>
                <c:pt idx="21">
                  <c:v>73.333333333333343</c:v>
                </c:pt>
                <c:pt idx="22">
                  <c:v>76.666666666666671</c:v>
                </c:pt>
                <c:pt idx="23">
                  <c:v>80</c:v>
                </c:pt>
                <c:pt idx="24">
                  <c:v>83.333333333333343</c:v>
                </c:pt>
                <c:pt idx="25">
                  <c:v>86.666666666666671</c:v>
                </c:pt>
                <c:pt idx="26">
                  <c:v>90</c:v>
                </c:pt>
                <c:pt idx="27">
                  <c:v>93.333333333333343</c:v>
                </c:pt>
                <c:pt idx="28">
                  <c:v>96.666666666666671</c:v>
                </c:pt>
                <c:pt idx="29">
                  <c:v>100</c:v>
                </c:pt>
              </c:numCache>
            </c:numRef>
          </c:cat>
          <c:val>
            <c:numRef>
              <c:f>재산분배!$B$92:$AE$92</c:f>
              <c:numCache>
                <c:formatCode>0_ 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0-4431-BD3E-0D5BFAE23D74}"/>
            </c:ext>
          </c:extLst>
        </c:ser>
        <c:ser>
          <c:idx val="1"/>
          <c:order val="1"/>
          <c:tx>
            <c:strRef>
              <c:f>재산분배!$A$93</c:f>
              <c:strCache>
                <c:ptCount val="1"/>
                <c:pt idx="0">
                  <c:v>적응도 평균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재산분배!$B$91:$AE$91</c:f>
              <c:numCache>
                <c:formatCode>0_ </c:formatCode>
                <c:ptCount val="30"/>
                <c:pt idx="0">
                  <c:v>3.3333333333333335</c:v>
                </c:pt>
                <c:pt idx="1">
                  <c:v>6.666666666666667</c:v>
                </c:pt>
                <c:pt idx="2">
                  <c:v>10</c:v>
                </c:pt>
                <c:pt idx="3">
                  <c:v>13.333333333333334</c:v>
                </c:pt>
                <c:pt idx="4">
                  <c:v>16.666666666666668</c:v>
                </c:pt>
                <c:pt idx="5">
                  <c:v>20</c:v>
                </c:pt>
                <c:pt idx="6">
                  <c:v>23.333333333333336</c:v>
                </c:pt>
                <c:pt idx="7">
                  <c:v>26.666666666666668</c:v>
                </c:pt>
                <c:pt idx="8">
                  <c:v>30</c:v>
                </c:pt>
                <c:pt idx="9">
                  <c:v>33.333333333333336</c:v>
                </c:pt>
                <c:pt idx="10">
                  <c:v>36.666666666666671</c:v>
                </c:pt>
                <c:pt idx="11">
                  <c:v>40</c:v>
                </c:pt>
                <c:pt idx="12">
                  <c:v>43.333333333333336</c:v>
                </c:pt>
                <c:pt idx="13">
                  <c:v>46.666666666666671</c:v>
                </c:pt>
                <c:pt idx="14">
                  <c:v>50</c:v>
                </c:pt>
                <c:pt idx="15">
                  <c:v>53.333333333333336</c:v>
                </c:pt>
                <c:pt idx="16">
                  <c:v>56.666666666666671</c:v>
                </c:pt>
                <c:pt idx="17">
                  <c:v>60</c:v>
                </c:pt>
                <c:pt idx="18">
                  <c:v>63.333333333333336</c:v>
                </c:pt>
                <c:pt idx="19">
                  <c:v>66.666666666666671</c:v>
                </c:pt>
                <c:pt idx="20">
                  <c:v>70</c:v>
                </c:pt>
                <c:pt idx="21">
                  <c:v>73.333333333333343</c:v>
                </c:pt>
                <c:pt idx="22">
                  <c:v>76.666666666666671</c:v>
                </c:pt>
                <c:pt idx="23">
                  <c:v>80</c:v>
                </c:pt>
                <c:pt idx="24">
                  <c:v>83.333333333333343</c:v>
                </c:pt>
                <c:pt idx="25">
                  <c:v>86.666666666666671</c:v>
                </c:pt>
                <c:pt idx="26">
                  <c:v>90</c:v>
                </c:pt>
                <c:pt idx="27">
                  <c:v>93.333333333333343</c:v>
                </c:pt>
                <c:pt idx="28">
                  <c:v>96.666666666666671</c:v>
                </c:pt>
                <c:pt idx="29">
                  <c:v>100</c:v>
                </c:pt>
              </c:numCache>
            </c:numRef>
          </c:cat>
          <c:val>
            <c:numRef>
              <c:f>재산분배!$B$93:$AE$93</c:f>
              <c:numCache>
                <c:formatCode>0_ 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80-4431-BD3E-0D5BFAE23D74}"/>
            </c:ext>
          </c:extLst>
        </c:ser>
        <c:ser>
          <c:idx val="2"/>
          <c:order val="2"/>
          <c:tx>
            <c:strRef>
              <c:f>재산분배!$A$94</c:f>
              <c:strCache>
                <c:ptCount val="1"/>
                <c:pt idx="0">
                  <c:v>ε-line</c:v>
                </c:pt>
              </c:strCache>
            </c:strRef>
          </c:tx>
          <c:marker>
            <c:symbol val="none"/>
          </c:marker>
          <c:cat>
            <c:numRef>
              <c:f>재산분배!$B$91:$AE$91</c:f>
              <c:numCache>
                <c:formatCode>0_ </c:formatCode>
                <c:ptCount val="30"/>
                <c:pt idx="0">
                  <c:v>3.3333333333333335</c:v>
                </c:pt>
                <c:pt idx="1">
                  <c:v>6.666666666666667</c:v>
                </c:pt>
                <c:pt idx="2">
                  <c:v>10</c:v>
                </c:pt>
                <c:pt idx="3">
                  <c:v>13.333333333333334</c:v>
                </c:pt>
                <c:pt idx="4">
                  <c:v>16.666666666666668</c:v>
                </c:pt>
                <c:pt idx="5">
                  <c:v>20</c:v>
                </c:pt>
                <c:pt idx="6">
                  <c:v>23.333333333333336</c:v>
                </c:pt>
                <c:pt idx="7">
                  <c:v>26.666666666666668</c:v>
                </c:pt>
                <c:pt idx="8">
                  <c:v>30</c:v>
                </c:pt>
                <c:pt idx="9">
                  <c:v>33.333333333333336</c:v>
                </c:pt>
                <c:pt idx="10">
                  <c:v>36.666666666666671</c:v>
                </c:pt>
                <c:pt idx="11">
                  <c:v>40</c:v>
                </c:pt>
                <c:pt idx="12">
                  <c:v>43.333333333333336</c:v>
                </c:pt>
                <c:pt idx="13">
                  <c:v>46.666666666666671</c:v>
                </c:pt>
                <c:pt idx="14">
                  <c:v>50</c:v>
                </c:pt>
                <c:pt idx="15">
                  <c:v>53.333333333333336</c:v>
                </c:pt>
                <c:pt idx="16">
                  <c:v>56.666666666666671</c:v>
                </c:pt>
                <c:pt idx="17">
                  <c:v>60</c:v>
                </c:pt>
                <c:pt idx="18">
                  <c:v>63.333333333333336</c:v>
                </c:pt>
                <c:pt idx="19">
                  <c:v>66.666666666666671</c:v>
                </c:pt>
                <c:pt idx="20">
                  <c:v>70</c:v>
                </c:pt>
                <c:pt idx="21">
                  <c:v>73.333333333333343</c:v>
                </c:pt>
                <c:pt idx="22">
                  <c:v>76.666666666666671</c:v>
                </c:pt>
                <c:pt idx="23">
                  <c:v>80</c:v>
                </c:pt>
                <c:pt idx="24">
                  <c:v>83.333333333333343</c:v>
                </c:pt>
                <c:pt idx="25">
                  <c:v>86.666666666666671</c:v>
                </c:pt>
                <c:pt idx="26">
                  <c:v>90</c:v>
                </c:pt>
                <c:pt idx="27">
                  <c:v>93.333333333333343</c:v>
                </c:pt>
                <c:pt idx="28">
                  <c:v>96.666666666666671</c:v>
                </c:pt>
                <c:pt idx="29">
                  <c:v>100</c:v>
                </c:pt>
              </c:numCache>
            </c:numRef>
          </c:cat>
          <c:val>
            <c:numRef>
              <c:f>재산분배!$B$94:$AE$94</c:f>
              <c:numCache>
                <c:formatCode>0_ 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80-4431-BD3E-0D5BFAE23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511808"/>
        <c:axId val="113521792"/>
      </c:lineChart>
      <c:catAx>
        <c:axId val="113511808"/>
        <c:scaling>
          <c:orientation val="minMax"/>
        </c:scaling>
        <c:delete val="0"/>
        <c:axPos val="b"/>
        <c:numFmt formatCode="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13521792"/>
        <c:crosses val="autoZero"/>
        <c:auto val="1"/>
        <c:lblAlgn val="ctr"/>
        <c:lblOffset val="100"/>
        <c:noMultiLvlLbl val="0"/>
      </c:catAx>
      <c:valAx>
        <c:axId val="113521792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1351180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95</xdr:row>
      <xdr:rowOff>104774</xdr:rowOff>
    </xdr:from>
    <xdr:to>
      <xdr:col>30</xdr:col>
      <xdr:colOff>200026</xdr:colOff>
      <xdr:row>112</xdr:row>
      <xdr:rowOff>95249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123825</xdr:colOff>
          <xdr:row>0</xdr:row>
          <xdr:rowOff>133350</xdr:rowOff>
        </xdr:from>
        <xdr:to>
          <xdr:col>30</xdr:col>
          <xdr:colOff>28575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190500</xdr:colOff>
          <xdr:row>5</xdr:row>
          <xdr:rowOff>142875</xdr:rowOff>
        </xdr:from>
        <xdr:to>
          <xdr:col>30</xdr:col>
          <xdr:colOff>9525</xdr:colOff>
          <xdr:row>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재산 가치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190500</xdr:colOff>
          <xdr:row>7</xdr:row>
          <xdr:rowOff>142875</xdr:rowOff>
        </xdr:from>
        <xdr:to>
          <xdr:col>30</xdr:col>
          <xdr:colOff>9525</xdr:colOff>
          <xdr:row>9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상속 비율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11</xdr:row>
          <xdr:rowOff>152400</xdr:rowOff>
        </xdr:from>
        <xdr:to>
          <xdr:col>14</xdr:col>
          <xdr:colOff>95250</xdr:colOff>
          <xdr:row>13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마스크 설정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19</xdr:row>
          <xdr:rowOff>161925</xdr:rowOff>
        </xdr:from>
        <xdr:to>
          <xdr:col>8</xdr:col>
          <xdr:colOff>9525</xdr:colOff>
          <xdr:row>21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초기 집단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44</xdr:row>
          <xdr:rowOff>142875</xdr:rowOff>
        </xdr:from>
        <xdr:to>
          <xdr:col>19</xdr:col>
          <xdr:colOff>66675</xdr:colOff>
          <xdr:row>46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적응도 평가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50</xdr:row>
          <xdr:rowOff>142875</xdr:rowOff>
        </xdr:from>
        <xdr:to>
          <xdr:col>19</xdr:col>
          <xdr:colOff>9525</xdr:colOff>
          <xdr:row>52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교차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46</xdr:row>
      <xdr:rowOff>47625</xdr:rowOff>
    </xdr:from>
    <xdr:to>
      <xdr:col>18</xdr:col>
      <xdr:colOff>0</xdr:colOff>
      <xdr:row>50</xdr:row>
      <xdr:rowOff>152400</xdr:rowOff>
    </xdr:to>
    <xdr:cxnSp macro="">
      <xdr:nvCxnSpPr>
        <xdr:cNvPr id="6" name="直線矢印コネクタ 5"/>
        <xdr:cNvCxnSpPr/>
      </xdr:nvCxnSpPr>
      <xdr:spPr>
        <a:xfrm>
          <a:off x="4572000" y="7943850"/>
          <a:ext cx="0" cy="790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46</xdr:row>
      <xdr:rowOff>47625</xdr:rowOff>
    </xdr:from>
    <xdr:to>
      <xdr:col>16</xdr:col>
      <xdr:colOff>238125</xdr:colOff>
      <xdr:row>47</xdr:row>
      <xdr:rowOff>123825</xdr:rowOff>
    </xdr:to>
    <xdr:cxnSp macro="">
      <xdr:nvCxnSpPr>
        <xdr:cNvPr id="22" name="直線矢印コネクタ 21"/>
        <xdr:cNvCxnSpPr/>
      </xdr:nvCxnSpPr>
      <xdr:spPr>
        <a:xfrm flipH="1">
          <a:off x="4086225" y="7943850"/>
          <a:ext cx="228600" cy="247650"/>
        </a:xfrm>
        <a:prstGeom prst="straightConnector1">
          <a:avLst/>
        </a:prstGeom>
        <a:ln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19050</xdr:colOff>
      <xdr:row>49</xdr:row>
      <xdr:rowOff>9526</xdr:rowOff>
    </xdr:from>
    <xdr:to>
      <xdr:col>16</xdr:col>
      <xdr:colOff>228600</xdr:colOff>
      <xdr:row>50</xdr:row>
      <xdr:rowOff>133350</xdr:rowOff>
    </xdr:to>
    <xdr:cxnSp macro="">
      <xdr:nvCxnSpPr>
        <xdr:cNvPr id="26" name="直線矢印コネクタ 25"/>
        <xdr:cNvCxnSpPr/>
      </xdr:nvCxnSpPr>
      <xdr:spPr>
        <a:xfrm>
          <a:off x="4095750" y="8420101"/>
          <a:ext cx="209550" cy="295274"/>
        </a:xfrm>
        <a:prstGeom prst="straightConnector1">
          <a:avLst/>
        </a:prstGeom>
        <a:ln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47</xdr:row>
          <xdr:rowOff>133350</xdr:rowOff>
        </xdr:from>
        <xdr:to>
          <xdr:col>17</xdr:col>
          <xdr:colOff>152400</xdr:colOff>
          <xdr:row>49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돌연변이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73</xdr:row>
          <xdr:rowOff>152400</xdr:rowOff>
        </xdr:from>
        <xdr:to>
          <xdr:col>20</xdr:col>
          <xdr:colOff>114300</xdr:colOff>
          <xdr:row>75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GA 실행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94"/>
  <sheetViews>
    <sheetView tabSelected="1" zoomScale="130" zoomScaleNormal="130" workbookViewId="0"/>
  </sheetViews>
  <sheetFormatPr defaultRowHeight="16.5" x14ac:dyDescent="0.3"/>
  <cols>
    <col min="1" max="1" width="4.75" customWidth="1"/>
    <col min="2" max="21" width="3.25" customWidth="1"/>
    <col min="22" max="23" width="3.5" customWidth="1"/>
    <col min="24" max="31" width="3.25" customWidth="1"/>
  </cols>
  <sheetData>
    <row r="1" spans="1:31" ht="17.25" x14ac:dyDescent="0.3">
      <c r="A1" s="25" t="s">
        <v>36</v>
      </c>
      <c r="B1" s="25"/>
      <c r="C1" s="25"/>
      <c r="D1" s="25"/>
      <c r="E1" s="25"/>
      <c r="F1" s="25"/>
      <c r="G1" s="25"/>
      <c r="H1" s="25"/>
      <c r="I1" s="25"/>
      <c r="N1" t="s">
        <v>35</v>
      </c>
    </row>
    <row r="2" spans="1:31" x14ac:dyDescent="0.3">
      <c r="X2" t="s">
        <v>37</v>
      </c>
      <c r="AB2" s="5" t="s">
        <v>28</v>
      </c>
      <c r="AC2" s="6"/>
      <c r="AD2" s="7"/>
    </row>
    <row r="3" spans="1:31" x14ac:dyDescent="0.3">
      <c r="A3" s="3" t="s">
        <v>71</v>
      </c>
    </row>
    <row r="4" spans="1:31" x14ac:dyDescent="0.3">
      <c r="A4" s="1" t="s">
        <v>0</v>
      </c>
      <c r="B4" s="1">
        <v>1</v>
      </c>
      <c r="C4" s="1">
        <v>2</v>
      </c>
      <c r="D4" s="1">
        <v>3</v>
      </c>
      <c r="E4" s="1">
        <v>4</v>
      </c>
      <c r="F4" s="1">
        <v>5</v>
      </c>
      <c r="G4" s="1">
        <v>6</v>
      </c>
      <c r="H4" s="1">
        <v>7</v>
      </c>
      <c r="I4" s="1">
        <v>8</v>
      </c>
      <c r="J4" s="1">
        <v>9</v>
      </c>
      <c r="K4" s="1">
        <v>10</v>
      </c>
      <c r="L4" s="1">
        <v>11</v>
      </c>
      <c r="M4" s="1">
        <v>12</v>
      </c>
      <c r="N4" s="1">
        <v>13</v>
      </c>
      <c r="O4" s="1">
        <v>14</v>
      </c>
      <c r="P4" s="1">
        <v>15</v>
      </c>
      <c r="Q4" s="1">
        <v>16</v>
      </c>
      <c r="R4" s="1">
        <v>17</v>
      </c>
      <c r="S4" s="1">
        <v>18</v>
      </c>
      <c r="T4" s="1">
        <v>19</v>
      </c>
      <c r="U4" s="1">
        <v>20</v>
      </c>
      <c r="V4" s="1">
        <v>21</v>
      </c>
      <c r="W4" s="1">
        <v>22</v>
      </c>
      <c r="X4" s="1">
        <v>23</v>
      </c>
      <c r="Y4" s="1">
        <v>24</v>
      </c>
      <c r="Z4" s="1">
        <v>25</v>
      </c>
      <c r="AA4" s="1">
        <v>26</v>
      </c>
      <c r="AB4" s="1">
        <v>27</v>
      </c>
      <c r="AC4" s="1">
        <v>28</v>
      </c>
      <c r="AD4" s="1">
        <v>29</v>
      </c>
      <c r="AE4" s="1">
        <v>30</v>
      </c>
    </row>
    <row r="5" spans="1:31" x14ac:dyDescent="0.3">
      <c r="A5" s="9" t="s">
        <v>38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</row>
    <row r="7" spans="1:31" x14ac:dyDescent="0.3">
      <c r="A7" s="3" t="s">
        <v>39</v>
      </c>
      <c r="C7" s="52" t="s">
        <v>1</v>
      </c>
      <c r="D7" s="53"/>
      <c r="E7" s="52" t="s">
        <v>4</v>
      </c>
      <c r="F7" s="53"/>
      <c r="G7" s="52" t="s">
        <v>5</v>
      </c>
      <c r="H7" s="53"/>
      <c r="I7" s="52" t="s">
        <v>2</v>
      </c>
      <c r="J7" s="53"/>
      <c r="K7" s="52" t="s">
        <v>6</v>
      </c>
      <c r="L7" s="53"/>
      <c r="M7" s="52" t="s">
        <v>7</v>
      </c>
      <c r="N7" s="53"/>
      <c r="O7" s="52" t="s">
        <v>8</v>
      </c>
      <c r="P7" s="53"/>
      <c r="Q7" s="52" t="s">
        <v>9</v>
      </c>
      <c r="R7" s="53"/>
      <c r="V7" s="3" t="s">
        <v>41</v>
      </c>
      <c r="AB7" s="5" t="s">
        <v>26</v>
      </c>
      <c r="AC7" s="6"/>
      <c r="AD7" s="7"/>
    </row>
    <row r="8" spans="1:31" x14ac:dyDescent="0.3">
      <c r="A8" s="4" t="s">
        <v>72</v>
      </c>
      <c r="C8" s="54"/>
      <c r="D8" s="55"/>
      <c r="E8" s="54"/>
      <c r="F8" s="55"/>
      <c r="G8" s="54"/>
      <c r="H8" s="55"/>
      <c r="I8" s="54"/>
      <c r="J8" s="55"/>
      <c r="K8" s="54"/>
      <c r="L8" s="55"/>
      <c r="M8" s="54"/>
      <c r="N8" s="55"/>
      <c r="O8" s="54"/>
      <c r="P8" s="55"/>
      <c r="Q8" s="54"/>
      <c r="R8" s="55"/>
    </row>
    <row r="9" spans="1:31" x14ac:dyDescent="0.3">
      <c r="A9" s="4" t="s">
        <v>40</v>
      </c>
      <c r="C9" s="48" t="e">
        <f>SUM($B$5:$AE$5)*C8/SUM($C$8:$R$8)</f>
        <v>#DIV/0!</v>
      </c>
      <c r="D9" s="49"/>
      <c r="E9" s="48" t="e">
        <f t="shared" ref="E9" si="0">SUM($B$5:$AE$5)*E8/SUM($C$8:$R$8)</f>
        <v>#DIV/0!</v>
      </c>
      <c r="F9" s="49"/>
      <c r="G9" s="48" t="e">
        <f t="shared" ref="G9" si="1">SUM($B$5:$AE$5)*G8/SUM($C$8:$R$8)</f>
        <v>#DIV/0!</v>
      </c>
      <c r="H9" s="49"/>
      <c r="I9" s="48" t="e">
        <f t="shared" ref="I9" si="2">SUM($B$5:$AE$5)*I8/SUM($C$8:$R$8)</f>
        <v>#DIV/0!</v>
      </c>
      <c r="J9" s="49"/>
      <c r="K9" s="48" t="e">
        <f t="shared" ref="K9" si="3">SUM($B$5:$AE$5)*K8/SUM($C$8:$R$8)</f>
        <v>#DIV/0!</v>
      </c>
      <c r="L9" s="49"/>
      <c r="M9" s="48" t="e">
        <f t="shared" ref="M9" si="4">SUM($B$5:$AE$5)*M8/SUM($C$8:$R$8)</f>
        <v>#DIV/0!</v>
      </c>
      <c r="N9" s="49"/>
      <c r="O9" s="48" t="e">
        <f t="shared" ref="O9" si="5">SUM($B$5:$AE$5)*O8/SUM($C$8:$R$8)</f>
        <v>#DIV/0!</v>
      </c>
      <c r="P9" s="49"/>
      <c r="Q9" s="48" t="e">
        <f t="shared" ref="Q9" si="6">SUM($B$5:$AE$5)*Q8/SUM($C$8:$R$8)</f>
        <v>#DIV/0!</v>
      </c>
      <c r="R9" s="49"/>
      <c r="S9" s="3" t="s">
        <v>46</v>
      </c>
      <c r="V9" s="3" t="s">
        <v>42</v>
      </c>
      <c r="AB9" s="5" t="s">
        <v>27</v>
      </c>
      <c r="AC9" s="6"/>
      <c r="AD9" s="7"/>
    </row>
    <row r="11" spans="1:31" x14ac:dyDescent="0.3">
      <c r="A11" s="3" t="s">
        <v>73</v>
      </c>
      <c r="C11" s="50">
        <v>8</v>
      </c>
      <c r="D11" s="51"/>
      <c r="F11" s="3" t="s">
        <v>43</v>
      </c>
    </row>
    <row r="12" spans="1:31" x14ac:dyDescent="0.3">
      <c r="C12" s="2"/>
      <c r="D12" s="2"/>
    </row>
    <row r="13" spans="1:31" x14ac:dyDescent="0.3">
      <c r="A13" s="3" t="s">
        <v>74</v>
      </c>
      <c r="C13" s="2"/>
      <c r="D13" s="2"/>
      <c r="I13" s="50">
        <v>0</v>
      </c>
      <c r="J13" s="51"/>
      <c r="L13" s="5" t="s">
        <v>14</v>
      </c>
      <c r="M13" s="6"/>
      <c r="N13" s="7"/>
      <c r="P13" s="3" t="s">
        <v>44</v>
      </c>
    </row>
    <row r="14" spans="1:31" x14ac:dyDescent="0.3">
      <c r="C14" s="2"/>
      <c r="D14" s="2"/>
    </row>
    <row r="15" spans="1:31" x14ac:dyDescent="0.3">
      <c r="A15" s="3" t="s">
        <v>75</v>
      </c>
    </row>
    <row r="16" spans="1:31" x14ac:dyDescent="0.3">
      <c r="A16" s="3" t="s">
        <v>10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</row>
    <row r="17" spans="1:31" x14ac:dyDescent="0.3">
      <c r="A17" s="4" t="s">
        <v>11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</row>
    <row r="18" spans="1:31" x14ac:dyDescent="0.3">
      <c r="A18" s="4" t="s">
        <v>12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</row>
    <row r="19" spans="1:31" x14ac:dyDescent="0.3">
      <c r="A19" s="4" t="s">
        <v>13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</row>
    <row r="21" spans="1:31" x14ac:dyDescent="0.3">
      <c r="A21" s="3" t="s">
        <v>45</v>
      </c>
      <c r="F21" s="5" t="s">
        <v>15</v>
      </c>
      <c r="G21" s="6"/>
      <c r="H21" s="7"/>
    </row>
    <row r="22" spans="1:31" x14ac:dyDescent="0.3">
      <c r="F22" s="8"/>
      <c r="G22" s="6"/>
      <c r="H22" s="6"/>
    </row>
    <row r="23" spans="1:31" x14ac:dyDescent="0.3">
      <c r="A23" s="1" t="s">
        <v>0</v>
      </c>
      <c r="B23" s="1">
        <v>1</v>
      </c>
      <c r="C23" s="1">
        <v>2</v>
      </c>
      <c r="D23" s="1">
        <v>3</v>
      </c>
      <c r="E23" s="1">
        <v>4</v>
      </c>
      <c r="F23" s="1">
        <v>5</v>
      </c>
      <c r="G23" s="1">
        <v>6</v>
      </c>
      <c r="H23" s="1">
        <v>7</v>
      </c>
      <c r="I23" s="1">
        <v>8</v>
      </c>
      <c r="J23" s="1">
        <v>9</v>
      </c>
      <c r="K23" s="1">
        <v>10</v>
      </c>
      <c r="L23" s="1">
        <v>11</v>
      </c>
      <c r="M23" s="1">
        <v>12</v>
      </c>
      <c r="N23" s="1">
        <v>13</v>
      </c>
      <c r="O23" s="1">
        <v>14</v>
      </c>
      <c r="P23" s="1">
        <v>15</v>
      </c>
      <c r="Q23" s="1">
        <v>16</v>
      </c>
      <c r="R23" s="1">
        <v>17</v>
      </c>
      <c r="S23" s="1">
        <v>18</v>
      </c>
      <c r="T23" s="1">
        <v>19</v>
      </c>
      <c r="U23" s="1">
        <v>20</v>
      </c>
      <c r="V23" s="1">
        <v>21</v>
      </c>
      <c r="W23" s="1">
        <v>22</v>
      </c>
      <c r="X23" s="1">
        <v>23</v>
      </c>
      <c r="Y23" s="1">
        <v>24</v>
      </c>
      <c r="Z23" s="1">
        <v>25</v>
      </c>
      <c r="AA23" s="1">
        <v>26</v>
      </c>
      <c r="AB23" s="1">
        <v>27</v>
      </c>
      <c r="AC23" s="1">
        <v>28</v>
      </c>
      <c r="AD23" s="1">
        <v>29</v>
      </c>
      <c r="AE23" s="1">
        <v>30</v>
      </c>
    </row>
    <row r="24" spans="1:31" x14ac:dyDescent="0.3">
      <c r="A24" s="9" t="s">
        <v>16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3">
      <c r="A25" s="10" t="s">
        <v>17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3">
      <c r="A26" s="10" t="s">
        <v>18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3">
      <c r="A27" s="10" t="s">
        <v>19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3">
      <c r="A28" s="10" t="s">
        <v>20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3">
      <c r="A29" s="10" t="s">
        <v>21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3">
      <c r="A30" s="10" t="s">
        <v>22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3">
      <c r="A31" s="10" t="s">
        <v>23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3" spans="1:31" x14ac:dyDescent="0.3">
      <c r="A33" s="20" t="s">
        <v>76</v>
      </c>
    </row>
    <row r="34" spans="1:31" x14ac:dyDescent="0.3">
      <c r="A34" s="27" t="s">
        <v>0</v>
      </c>
      <c r="B34" s="27">
        <v>1</v>
      </c>
      <c r="C34" s="27">
        <v>2</v>
      </c>
      <c r="D34" s="27">
        <v>3</v>
      </c>
      <c r="E34" s="27">
        <v>4</v>
      </c>
      <c r="F34" s="27">
        <v>5</v>
      </c>
      <c r="G34" s="27">
        <v>6</v>
      </c>
      <c r="H34" s="27">
        <v>7</v>
      </c>
      <c r="I34" s="27">
        <v>8</v>
      </c>
      <c r="J34" s="27">
        <v>9</v>
      </c>
      <c r="K34" s="27">
        <v>10</v>
      </c>
      <c r="L34" s="27">
        <v>11</v>
      </c>
      <c r="M34" s="27">
        <v>12</v>
      </c>
      <c r="N34" s="27">
        <v>13</v>
      </c>
      <c r="O34" s="27">
        <v>14</v>
      </c>
      <c r="P34" s="27">
        <v>15</v>
      </c>
      <c r="Q34" s="27">
        <v>16</v>
      </c>
      <c r="R34" s="27">
        <v>17</v>
      </c>
      <c r="S34" s="27">
        <v>18</v>
      </c>
      <c r="T34" s="27">
        <v>19</v>
      </c>
      <c r="U34" s="27">
        <v>20</v>
      </c>
      <c r="V34" s="27">
        <v>21</v>
      </c>
      <c r="W34" s="27">
        <v>22</v>
      </c>
      <c r="X34" s="27">
        <v>23</v>
      </c>
      <c r="Y34" s="27">
        <v>24</v>
      </c>
      <c r="Z34" s="27">
        <v>25</v>
      </c>
      <c r="AA34" s="27">
        <v>26</v>
      </c>
      <c r="AB34" s="27">
        <v>27</v>
      </c>
      <c r="AC34" s="27">
        <v>28</v>
      </c>
      <c r="AD34" s="27">
        <v>29</v>
      </c>
      <c r="AE34" s="27">
        <v>30</v>
      </c>
    </row>
    <row r="35" spans="1:31" x14ac:dyDescent="0.3">
      <c r="A35" s="43" t="s">
        <v>16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</row>
    <row r="36" spans="1:31" x14ac:dyDescent="0.3">
      <c r="A36" s="44" t="s">
        <v>17</v>
      </c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</row>
    <row r="37" spans="1:31" x14ac:dyDescent="0.3">
      <c r="A37" s="44" t="s">
        <v>18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</row>
    <row r="38" spans="1:31" x14ac:dyDescent="0.3">
      <c r="A38" s="44" t="s">
        <v>19</v>
      </c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</row>
    <row r="39" spans="1:31" x14ac:dyDescent="0.3">
      <c r="A39" s="44" t="s">
        <v>20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</row>
    <row r="40" spans="1:31" x14ac:dyDescent="0.3">
      <c r="A40" s="44" t="s">
        <v>30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</row>
    <row r="41" spans="1:31" x14ac:dyDescent="0.3">
      <c r="A41" s="44" t="s">
        <v>22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</row>
    <row r="42" spans="1:31" x14ac:dyDescent="0.3">
      <c r="A42" s="44" t="s">
        <v>23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</row>
    <row r="44" spans="1:31" x14ac:dyDescent="0.3">
      <c r="A44" s="3" t="s">
        <v>77</v>
      </c>
    </row>
    <row r="45" spans="1:31" x14ac:dyDescent="0.3">
      <c r="A45" s="1"/>
      <c r="B45" s="1" t="s">
        <v>3</v>
      </c>
      <c r="C45" s="1" t="s">
        <v>4</v>
      </c>
      <c r="D45" s="1" t="s">
        <v>5</v>
      </c>
      <c r="E45" s="1" t="s">
        <v>2</v>
      </c>
      <c r="F45" s="1" t="s">
        <v>6</v>
      </c>
      <c r="G45" s="1" t="s">
        <v>7</v>
      </c>
      <c r="H45" s="1" t="s">
        <v>8</v>
      </c>
      <c r="I45" s="1" t="s">
        <v>9</v>
      </c>
      <c r="J45" s="45" t="s">
        <v>47</v>
      </c>
      <c r="K45" s="12"/>
      <c r="L45" s="12" t="s">
        <v>48</v>
      </c>
      <c r="M45" s="12">
        <v>1</v>
      </c>
      <c r="N45" s="12" t="s">
        <v>31</v>
      </c>
      <c r="O45" s="13"/>
      <c r="P45" s="13"/>
      <c r="Q45" s="13"/>
      <c r="R45" s="13"/>
      <c r="S45" s="13"/>
      <c r="T45" s="13"/>
      <c r="U45" s="13"/>
      <c r="V45" s="14" t="s">
        <v>49</v>
      </c>
      <c r="W45" s="13"/>
      <c r="X45" s="13"/>
      <c r="Y45" s="13"/>
      <c r="Z45" s="13"/>
      <c r="AA45" s="13"/>
      <c r="AB45" s="13"/>
      <c r="AC45" s="13"/>
      <c r="AD45" s="13"/>
      <c r="AE45" s="13"/>
    </row>
    <row r="46" spans="1:31" x14ac:dyDescent="0.3">
      <c r="A46" s="9" t="s">
        <v>16</v>
      </c>
      <c r="B46" s="32">
        <f>SUMIF($B35:$AE35,B$45,$B$5:$AE$5)</f>
        <v>0</v>
      </c>
      <c r="C46" s="32">
        <f t="shared" ref="C46:I46" si="7">SUMIF($B35:$AE35,C$45,$B$5:$AE$5)</f>
        <v>0</v>
      </c>
      <c r="D46" s="32">
        <f t="shared" si="7"/>
        <v>0</v>
      </c>
      <c r="E46" s="32">
        <f t="shared" si="7"/>
        <v>0</v>
      </c>
      <c r="F46" s="32">
        <f t="shared" si="7"/>
        <v>0</v>
      </c>
      <c r="G46" s="32">
        <f t="shared" si="7"/>
        <v>0</v>
      </c>
      <c r="H46" s="32">
        <f t="shared" si="7"/>
        <v>0</v>
      </c>
      <c r="I46" s="32">
        <f t="shared" si="7"/>
        <v>0</v>
      </c>
      <c r="J46" s="48"/>
      <c r="K46" s="49"/>
      <c r="L46" s="1" t="e">
        <f>RANK(J46,J$46:J$53,TRUE)</f>
        <v>#N/A</v>
      </c>
      <c r="M46" s="1">
        <v>0</v>
      </c>
      <c r="N46" s="1">
        <v>0</v>
      </c>
      <c r="O46" s="13"/>
      <c r="P46" s="13"/>
      <c r="Q46" s="5" t="s">
        <v>24</v>
      </c>
      <c r="R46" s="6"/>
      <c r="S46" s="7"/>
      <c r="T46" s="13"/>
      <c r="V46" s="17" t="s">
        <v>39</v>
      </c>
      <c r="W46" s="18"/>
      <c r="X46" s="1" t="s">
        <v>1</v>
      </c>
      <c r="Y46" s="1" t="s">
        <v>4</v>
      </c>
      <c r="Z46" s="1" t="s">
        <v>5</v>
      </c>
      <c r="AA46" s="1" t="s">
        <v>2</v>
      </c>
      <c r="AB46" s="1" t="s">
        <v>6</v>
      </c>
      <c r="AC46" s="1" t="s">
        <v>7</v>
      </c>
      <c r="AD46" s="1" t="s">
        <v>8</v>
      </c>
      <c r="AE46" s="1" t="s">
        <v>9</v>
      </c>
    </row>
    <row r="47" spans="1:31" x14ac:dyDescent="0.3">
      <c r="A47" s="10" t="s">
        <v>17</v>
      </c>
      <c r="B47" s="32">
        <f t="shared" ref="B47:I47" si="8">SUMIF($B36:$AE36,B$45,$B$5:$AE$5)</f>
        <v>0</v>
      </c>
      <c r="C47" s="32">
        <f t="shared" si="8"/>
        <v>0</v>
      </c>
      <c r="D47" s="32">
        <f t="shared" si="8"/>
        <v>0</v>
      </c>
      <c r="E47" s="32">
        <f t="shared" si="8"/>
        <v>0</v>
      </c>
      <c r="F47" s="32">
        <f t="shared" si="8"/>
        <v>0</v>
      </c>
      <c r="G47" s="32">
        <f t="shared" si="8"/>
        <v>0</v>
      </c>
      <c r="H47" s="32">
        <f t="shared" si="8"/>
        <v>0</v>
      </c>
      <c r="I47" s="32">
        <f t="shared" si="8"/>
        <v>0</v>
      </c>
      <c r="J47" s="48"/>
      <c r="K47" s="49"/>
      <c r="L47" s="1" t="e">
        <f t="shared" ref="L47:L53" si="9">RANK(J47,J$46:J$53,TRUE)</f>
        <v>#N/A</v>
      </c>
      <c r="M47" s="1">
        <v>0</v>
      </c>
      <c r="N47" s="1">
        <v>0</v>
      </c>
      <c r="O47" s="13"/>
      <c r="P47" s="13"/>
      <c r="Q47" s="13"/>
      <c r="R47" s="13"/>
      <c r="S47" s="13"/>
      <c r="T47" s="13"/>
      <c r="U47" s="13"/>
      <c r="V47" s="46" t="s">
        <v>40</v>
      </c>
      <c r="W47" s="18"/>
      <c r="X47" s="32"/>
      <c r="Y47" s="32"/>
      <c r="Z47" s="32"/>
      <c r="AA47" s="32"/>
      <c r="AB47" s="32"/>
      <c r="AC47" s="32"/>
      <c r="AD47" s="32"/>
      <c r="AE47" s="32"/>
    </row>
    <row r="48" spans="1:31" x14ac:dyDescent="0.3">
      <c r="A48" s="10" t="s">
        <v>18</v>
      </c>
      <c r="B48" s="32">
        <f t="shared" ref="B48:I48" si="10">SUMIF($B37:$AE37,B$45,$B$5:$AE$5)</f>
        <v>0</v>
      </c>
      <c r="C48" s="32">
        <f t="shared" si="10"/>
        <v>0</v>
      </c>
      <c r="D48" s="32">
        <f t="shared" si="10"/>
        <v>0</v>
      </c>
      <c r="E48" s="32">
        <f t="shared" si="10"/>
        <v>0</v>
      </c>
      <c r="F48" s="32">
        <f t="shared" si="10"/>
        <v>0</v>
      </c>
      <c r="G48" s="32">
        <f t="shared" si="10"/>
        <v>0</v>
      </c>
      <c r="H48" s="32">
        <f t="shared" si="10"/>
        <v>0</v>
      </c>
      <c r="I48" s="32">
        <f t="shared" si="10"/>
        <v>0</v>
      </c>
      <c r="J48" s="48"/>
      <c r="K48" s="49"/>
      <c r="L48" s="1" t="e">
        <f t="shared" si="9"/>
        <v>#N/A</v>
      </c>
      <c r="M48" s="1">
        <v>0</v>
      </c>
      <c r="N48" s="1">
        <v>0</v>
      </c>
      <c r="O48" s="13"/>
      <c r="P48" s="13"/>
      <c r="Q48" s="13"/>
      <c r="R48" s="13"/>
      <c r="S48" s="13"/>
      <c r="T48" s="13"/>
      <c r="V48" s="47" t="s">
        <v>50</v>
      </c>
      <c r="W48" s="18"/>
      <c r="X48" s="23" t="e">
        <f>X47-C9</f>
        <v>#DIV/0!</v>
      </c>
      <c r="Y48" s="23" t="e">
        <f>Y47-E9</f>
        <v>#DIV/0!</v>
      </c>
      <c r="Z48" s="23" t="e">
        <f>Z47-G9</f>
        <v>#DIV/0!</v>
      </c>
      <c r="AA48" s="23" t="e">
        <f>AA47-I9</f>
        <v>#DIV/0!</v>
      </c>
      <c r="AB48" s="23" t="e">
        <f>AB47-K9</f>
        <v>#DIV/0!</v>
      </c>
      <c r="AC48" s="23" t="e">
        <f>AC47-M9</f>
        <v>#DIV/0!</v>
      </c>
      <c r="AD48" s="23" t="e">
        <f>AD47-O9</f>
        <v>#DIV/0!</v>
      </c>
      <c r="AE48" s="23" t="e">
        <f>AE47-Q9</f>
        <v>#DIV/0!</v>
      </c>
    </row>
    <row r="49" spans="1:31" x14ac:dyDescent="0.3">
      <c r="A49" s="10" t="s">
        <v>19</v>
      </c>
      <c r="B49" s="32">
        <f t="shared" ref="B49:I49" si="11">SUMIF($B38:$AE38,B$45,$B$5:$AE$5)</f>
        <v>0</v>
      </c>
      <c r="C49" s="32">
        <f t="shared" si="11"/>
        <v>0</v>
      </c>
      <c r="D49" s="32">
        <f t="shared" si="11"/>
        <v>0</v>
      </c>
      <c r="E49" s="32">
        <f t="shared" si="11"/>
        <v>0</v>
      </c>
      <c r="F49" s="32">
        <f t="shared" si="11"/>
        <v>0</v>
      </c>
      <c r="G49" s="32">
        <f t="shared" si="11"/>
        <v>0</v>
      </c>
      <c r="H49" s="32">
        <f t="shared" si="11"/>
        <v>0</v>
      </c>
      <c r="I49" s="32">
        <f t="shared" si="11"/>
        <v>0</v>
      </c>
      <c r="J49" s="48"/>
      <c r="K49" s="49"/>
      <c r="L49" s="1" t="e">
        <f t="shared" si="9"/>
        <v>#N/A</v>
      </c>
      <c r="M49" s="1">
        <v>0</v>
      </c>
      <c r="N49" s="1">
        <v>0</v>
      </c>
      <c r="O49" s="13"/>
      <c r="P49" s="30" t="s">
        <v>32</v>
      </c>
      <c r="Q49" s="8"/>
      <c r="R49" s="31"/>
      <c r="S49" s="16"/>
      <c r="T49" s="13"/>
      <c r="V49" s="47" t="s">
        <v>78</v>
      </c>
      <c r="W49" s="18"/>
      <c r="X49" s="33" t="e">
        <f>X47/SUM($X47:$AE47)-C8</f>
        <v>#DIV/0!</v>
      </c>
      <c r="Y49" s="33" t="e">
        <f>Y47/SUM($X47:$AE47)-E8</f>
        <v>#DIV/0!</v>
      </c>
      <c r="Z49" s="33" t="e">
        <f>Z47/SUM($X47:$AE47)-G8</f>
        <v>#DIV/0!</v>
      </c>
      <c r="AA49" s="33" t="e">
        <f>AA47/SUM($X47:$AE47)-I8</f>
        <v>#DIV/0!</v>
      </c>
      <c r="AB49" s="33" t="e">
        <f>AB47/SUM($X47:$AE47)-K8</f>
        <v>#DIV/0!</v>
      </c>
      <c r="AC49" s="33" t="e">
        <f>AC47/SUM($X47:$AE47)-M8</f>
        <v>#DIV/0!</v>
      </c>
      <c r="AD49" s="33" t="e">
        <f>AD47/SUM($X47:$AE47)-O8</f>
        <v>#DIV/0!</v>
      </c>
      <c r="AE49" s="33" t="e">
        <f>AE47/SUM($X47:$AE47)-Q8</f>
        <v>#DIV/0!</v>
      </c>
    </row>
    <row r="50" spans="1:31" x14ac:dyDescent="0.3">
      <c r="A50" s="10" t="s">
        <v>20</v>
      </c>
      <c r="B50" s="32">
        <f t="shared" ref="B50:I50" si="12">SUMIF($B39:$AE39,B$45,$B$5:$AE$5)</f>
        <v>0</v>
      </c>
      <c r="C50" s="32">
        <f t="shared" si="12"/>
        <v>0</v>
      </c>
      <c r="D50" s="32">
        <f t="shared" si="12"/>
        <v>0</v>
      </c>
      <c r="E50" s="32">
        <f t="shared" si="12"/>
        <v>0</v>
      </c>
      <c r="F50" s="32">
        <f t="shared" si="12"/>
        <v>0</v>
      </c>
      <c r="G50" s="32">
        <f t="shared" si="12"/>
        <v>0</v>
      </c>
      <c r="H50" s="32">
        <f t="shared" si="12"/>
        <v>0</v>
      </c>
      <c r="I50" s="32">
        <f t="shared" si="12"/>
        <v>0</v>
      </c>
      <c r="J50" s="48"/>
      <c r="K50" s="49"/>
      <c r="L50" s="1" t="e">
        <f t="shared" si="9"/>
        <v>#N/A</v>
      </c>
      <c r="M50" s="1">
        <v>0</v>
      </c>
      <c r="N50" s="1">
        <v>0</v>
      </c>
      <c r="O50" s="13"/>
      <c r="P50" s="13"/>
      <c r="Q50" s="13"/>
      <c r="T50" s="13"/>
      <c r="U50" s="13"/>
      <c r="AC50" s="13"/>
      <c r="AD50" s="13"/>
      <c r="AE50" s="13"/>
    </row>
    <row r="51" spans="1:31" x14ac:dyDescent="0.3">
      <c r="A51" s="10" t="s">
        <v>21</v>
      </c>
      <c r="B51" s="32">
        <f t="shared" ref="B51:I51" si="13">SUMIF($B40:$AE40,B$45,$B$5:$AE$5)</f>
        <v>0</v>
      </c>
      <c r="C51" s="32">
        <f t="shared" si="13"/>
        <v>0</v>
      </c>
      <c r="D51" s="32">
        <f t="shared" si="13"/>
        <v>0</v>
      </c>
      <c r="E51" s="32">
        <f t="shared" si="13"/>
        <v>0</v>
      </c>
      <c r="F51" s="32">
        <f t="shared" si="13"/>
        <v>0</v>
      </c>
      <c r="G51" s="32">
        <f t="shared" si="13"/>
        <v>0</v>
      </c>
      <c r="H51" s="32">
        <f t="shared" si="13"/>
        <v>0</v>
      </c>
      <c r="I51" s="32">
        <f t="shared" si="13"/>
        <v>0</v>
      </c>
      <c r="J51" s="48"/>
      <c r="K51" s="49"/>
      <c r="L51" s="1" t="e">
        <f t="shared" si="9"/>
        <v>#N/A</v>
      </c>
      <c r="M51" s="1">
        <v>0</v>
      </c>
      <c r="N51" s="1">
        <v>0</v>
      </c>
      <c r="O51" s="13"/>
      <c r="P51" s="13"/>
      <c r="Q51" s="15"/>
      <c r="R51" s="16"/>
      <c r="S51" s="16"/>
      <c r="T51" s="13"/>
      <c r="V51" s="22" t="s">
        <v>51</v>
      </c>
      <c r="W51" s="34"/>
      <c r="X51" s="34"/>
      <c r="Y51" s="60" t="e">
        <f>SMALL($J$46:$J$53,1)</f>
        <v>#NUM!</v>
      </c>
      <c r="Z51" s="66"/>
      <c r="AA51" s="35"/>
      <c r="AB51" s="22" t="s">
        <v>53</v>
      </c>
      <c r="AD51" s="58" t="e">
        <f>Y51/SUM($C$9:$R$9)</f>
        <v>#NUM!</v>
      </c>
      <c r="AE51" s="59"/>
    </row>
    <row r="52" spans="1:31" x14ac:dyDescent="0.3">
      <c r="A52" s="10" t="s">
        <v>22</v>
      </c>
      <c r="B52" s="32">
        <f t="shared" ref="B52:I52" si="14">SUMIF($B41:$AE41,B$45,$B$5:$AE$5)</f>
        <v>0</v>
      </c>
      <c r="C52" s="32">
        <f t="shared" si="14"/>
        <v>0</v>
      </c>
      <c r="D52" s="32">
        <f t="shared" si="14"/>
        <v>0</v>
      </c>
      <c r="E52" s="32">
        <f t="shared" si="14"/>
        <v>0</v>
      </c>
      <c r="F52" s="32">
        <f t="shared" si="14"/>
        <v>0</v>
      </c>
      <c r="G52" s="32">
        <f t="shared" si="14"/>
        <v>0</v>
      </c>
      <c r="H52" s="32">
        <f t="shared" si="14"/>
        <v>0</v>
      </c>
      <c r="I52" s="32">
        <f t="shared" si="14"/>
        <v>0</v>
      </c>
      <c r="J52" s="48"/>
      <c r="K52" s="49"/>
      <c r="L52" s="1" t="e">
        <f t="shared" si="9"/>
        <v>#N/A</v>
      </c>
      <c r="M52" s="1">
        <v>0</v>
      </c>
      <c r="N52" s="1">
        <v>0</v>
      </c>
      <c r="O52" s="13"/>
      <c r="P52" s="13"/>
      <c r="Q52" s="5" t="s">
        <v>29</v>
      </c>
      <c r="R52" s="6"/>
      <c r="S52" s="7"/>
      <c r="U52" s="14"/>
      <c r="V52" s="36" t="s">
        <v>52</v>
      </c>
      <c r="W52" s="34"/>
      <c r="X52" s="34"/>
      <c r="Y52" s="60" t="e">
        <f>AVERAGE($J$46:$J$53)</f>
        <v>#DIV/0!</v>
      </c>
      <c r="Z52" s="66"/>
      <c r="AA52" s="35"/>
      <c r="AB52" s="36" t="s">
        <v>53</v>
      </c>
      <c r="AD52" s="58" t="e">
        <f>Y52/SUM($C$9:$R$9)</f>
        <v>#DIV/0!</v>
      </c>
      <c r="AE52" s="59"/>
    </row>
    <row r="53" spans="1:31" x14ac:dyDescent="0.3">
      <c r="A53" s="10" t="s">
        <v>23</v>
      </c>
      <c r="B53" s="32">
        <f t="shared" ref="B53:I53" si="15">SUMIF($B42:$AE42,B$45,$B$5:$AE$5)</f>
        <v>0</v>
      </c>
      <c r="C53" s="32">
        <f t="shared" si="15"/>
        <v>0</v>
      </c>
      <c r="D53" s="32">
        <f t="shared" si="15"/>
        <v>0</v>
      </c>
      <c r="E53" s="32">
        <f t="shared" si="15"/>
        <v>0</v>
      </c>
      <c r="F53" s="32">
        <f t="shared" si="15"/>
        <v>0</v>
      </c>
      <c r="G53" s="32">
        <f t="shared" si="15"/>
        <v>0</v>
      </c>
      <c r="H53" s="32">
        <f t="shared" si="15"/>
        <v>0</v>
      </c>
      <c r="I53" s="32">
        <f t="shared" si="15"/>
        <v>0</v>
      </c>
      <c r="J53" s="48"/>
      <c r="K53" s="49"/>
      <c r="L53" s="1" t="e">
        <f t="shared" si="9"/>
        <v>#N/A</v>
      </c>
      <c r="M53" s="1">
        <v>0</v>
      </c>
      <c r="N53" s="1">
        <v>0</v>
      </c>
      <c r="O53" s="13"/>
      <c r="P53" s="13"/>
      <c r="AB53" s="39" t="s">
        <v>54</v>
      </c>
      <c r="AE53" s="13"/>
    </row>
    <row r="54" spans="1:31" x14ac:dyDescent="0.3">
      <c r="L54" s="28"/>
    </row>
    <row r="55" spans="1:31" x14ac:dyDescent="0.3">
      <c r="A55" s="3" t="s">
        <v>79</v>
      </c>
    </row>
    <row r="56" spans="1:31" x14ac:dyDescent="0.3">
      <c r="A56" s="1" t="s">
        <v>0</v>
      </c>
      <c r="B56" s="27">
        <v>1</v>
      </c>
      <c r="C56" s="27">
        <v>2</v>
      </c>
      <c r="D56" s="27">
        <v>3</v>
      </c>
      <c r="E56" s="27">
        <v>4</v>
      </c>
      <c r="F56" s="27">
        <v>5</v>
      </c>
      <c r="G56" s="27">
        <v>6</v>
      </c>
      <c r="H56" s="27">
        <v>7</v>
      </c>
      <c r="I56" s="27">
        <v>8</v>
      </c>
      <c r="J56" s="27">
        <v>9</v>
      </c>
      <c r="K56" s="27">
        <v>10</v>
      </c>
      <c r="L56" s="27">
        <v>11</v>
      </c>
      <c r="M56" s="27">
        <v>12</v>
      </c>
      <c r="N56" s="27">
        <v>13</v>
      </c>
      <c r="O56" s="27">
        <v>14</v>
      </c>
      <c r="P56" s="27">
        <v>15</v>
      </c>
      <c r="Q56" s="27">
        <v>16</v>
      </c>
      <c r="R56" s="27">
        <v>17</v>
      </c>
      <c r="S56" s="27">
        <v>18</v>
      </c>
      <c r="T56" s="27">
        <v>19</v>
      </c>
      <c r="U56" s="27">
        <v>20</v>
      </c>
      <c r="V56" s="27">
        <v>21</v>
      </c>
      <c r="W56" s="27">
        <v>22</v>
      </c>
      <c r="X56" s="27">
        <v>23</v>
      </c>
      <c r="Y56" s="27">
        <v>24</v>
      </c>
      <c r="Z56" s="27">
        <v>25</v>
      </c>
      <c r="AA56" s="27">
        <v>26</v>
      </c>
      <c r="AB56" s="27">
        <v>27</v>
      </c>
      <c r="AC56" s="27">
        <v>28</v>
      </c>
      <c r="AD56" s="27">
        <v>29</v>
      </c>
      <c r="AE56" s="27">
        <v>30</v>
      </c>
    </row>
    <row r="57" spans="1:31" x14ac:dyDescent="0.3">
      <c r="A57" s="9" t="s">
        <v>16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x14ac:dyDescent="0.3">
      <c r="A58" s="10" t="s">
        <v>17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x14ac:dyDescent="0.3">
      <c r="A59" s="10" t="s">
        <v>18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x14ac:dyDescent="0.3">
      <c r="A60" s="10" t="s">
        <v>19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x14ac:dyDescent="0.3">
      <c r="A61" s="10" t="s">
        <v>20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x14ac:dyDescent="0.3">
      <c r="A62" s="10" t="s">
        <v>21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x14ac:dyDescent="0.3">
      <c r="A63" s="10" t="s">
        <v>22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x14ac:dyDescent="0.3">
      <c r="A64" s="10" t="s">
        <v>23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8" spans="1:31" ht="17.25" x14ac:dyDescent="0.3">
      <c r="A68" s="26" t="s">
        <v>55</v>
      </c>
      <c r="B68" s="25"/>
      <c r="C68" s="25"/>
      <c r="D68" s="25"/>
      <c r="E68" s="25"/>
      <c r="F68" s="25"/>
      <c r="G68" s="25"/>
      <c r="H68" s="25"/>
    </row>
    <row r="70" spans="1:31" x14ac:dyDescent="0.3">
      <c r="B70" s="14" t="s">
        <v>80</v>
      </c>
      <c r="I70" s="68">
        <v>100</v>
      </c>
      <c r="J70" s="69"/>
      <c r="K70" s="70"/>
      <c r="O70" s="3" t="s">
        <v>70</v>
      </c>
      <c r="P70" s="3"/>
      <c r="Q70" s="3"/>
      <c r="R70" s="3"/>
      <c r="S70" s="3"/>
      <c r="T70" s="3"/>
      <c r="U70" s="3"/>
      <c r="V70" s="3"/>
      <c r="W70" s="3"/>
      <c r="X70" s="40"/>
      <c r="Y70" s="41"/>
      <c r="Z70" s="42"/>
      <c r="AA70" s="42"/>
      <c r="AB70" s="42"/>
      <c r="AC70" s="42"/>
      <c r="AD70" s="42"/>
      <c r="AE70" s="3"/>
    </row>
    <row r="71" spans="1:31" x14ac:dyDescent="0.3">
      <c r="B71" s="3" t="s">
        <v>34</v>
      </c>
      <c r="O71" s="3" t="s">
        <v>82</v>
      </c>
      <c r="P71" s="3"/>
      <c r="Q71" s="3"/>
      <c r="R71" s="3"/>
      <c r="S71" s="3"/>
      <c r="T71" s="3"/>
      <c r="U71" s="3"/>
      <c r="V71" s="3"/>
      <c r="W71" s="3"/>
      <c r="X71" s="37"/>
      <c r="Y71" s="42"/>
      <c r="Z71" s="42"/>
      <c r="AA71" s="42"/>
      <c r="AB71" s="42"/>
      <c r="AC71" s="42"/>
      <c r="AD71" s="42"/>
      <c r="AE71" s="3"/>
    </row>
    <row r="72" spans="1:31" x14ac:dyDescent="0.3">
      <c r="B72" s="3"/>
      <c r="O72" s="4" t="s">
        <v>59</v>
      </c>
      <c r="P72" s="4"/>
      <c r="Q72" s="4"/>
      <c r="R72" s="4"/>
      <c r="S72" s="4"/>
      <c r="T72" s="4"/>
      <c r="U72" s="37"/>
      <c r="V72" s="37"/>
      <c r="W72" s="37"/>
      <c r="X72" s="37"/>
      <c r="Y72" s="37"/>
      <c r="Z72" s="37"/>
      <c r="AA72" s="37"/>
      <c r="AB72" s="40"/>
      <c r="AC72" s="40"/>
      <c r="AD72" s="42"/>
      <c r="AE72" s="3"/>
    </row>
    <row r="73" spans="1:31" x14ac:dyDescent="0.3">
      <c r="B73" s="14" t="s">
        <v>81</v>
      </c>
      <c r="I73" s="71">
        <v>0.1</v>
      </c>
      <c r="J73" s="72"/>
      <c r="K73" s="73"/>
      <c r="O73" s="4" t="s">
        <v>60</v>
      </c>
      <c r="P73" s="4"/>
      <c r="Q73" s="4"/>
      <c r="R73" s="4"/>
      <c r="S73" s="4"/>
      <c r="T73" s="4"/>
      <c r="U73" s="37"/>
      <c r="V73" s="37"/>
      <c r="W73" s="37"/>
      <c r="X73" s="37"/>
      <c r="Y73" s="37"/>
      <c r="Z73" s="37"/>
      <c r="AA73" s="37"/>
      <c r="AB73" s="37"/>
      <c r="AC73" s="37"/>
      <c r="AD73" s="42"/>
      <c r="AE73" s="4"/>
    </row>
    <row r="74" spans="1:31" x14ac:dyDescent="0.3">
      <c r="B74" s="14" t="s">
        <v>56</v>
      </c>
      <c r="I74" s="60" t="e">
        <f>SUM(C9:R9)*I73</f>
        <v>#DIV/0!</v>
      </c>
      <c r="J74" s="61"/>
      <c r="K74" s="62"/>
      <c r="AD74" s="42"/>
      <c r="AE74" s="4"/>
    </row>
    <row r="75" spans="1:31" x14ac:dyDescent="0.3">
      <c r="B75" s="14"/>
      <c r="I75" s="15"/>
      <c r="J75" s="16"/>
      <c r="K75" s="16"/>
      <c r="O75" s="4"/>
      <c r="P75" s="4"/>
      <c r="Q75" s="4"/>
      <c r="R75" s="5" t="s">
        <v>25</v>
      </c>
      <c r="S75" s="6"/>
      <c r="T75" s="7"/>
      <c r="U75" s="37"/>
      <c r="V75" s="37"/>
      <c r="W75" s="37"/>
      <c r="X75" s="37"/>
      <c r="Y75" s="37"/>
      <c r="Z75" s="37"/>
      <c r="AA75" s="37"/>
      <c r="AB75" s="37"/>
      <c r="AC75" s="37"/>
      <c r="AD75" s="42"/>
      <c r="AE75" s="4"/>
    </row>
    <row r="76" spans="1:31" x14ac:dyDescent="0.3">
      <c r="B76" s="14" t="s">
        <v>57</v>
      </c>
      <c r="C76" s="13"/>
      <c r="D76" s="13"/>
      <c r="E76" s="13"/>
      <c r="F76" s="13"/>
      <c r="G76" s="13"/>
      <c r="H76" s="13"/>
      <c r="I76" s="68">
        <v>0</v>
      </c>
      <c r="J76" s="69"/>
      <c r="K76" s="70"/>
      <c r="Z76" s="13"/>
      <c r="AA76" s="13"/>
      <c r="AB76" s="13"/>
      <c r="AC76" s="13"/>
      <c r="AD76" s="13"/>
    </row>
    <row r="77" spans="1:31" x14ac:dyDescent="0.3">
      <c r="B77" s="14" t="s">
        <v>58</v>
      </c>
      <c r="C77" s="13"/>
      <c r="D77" s="13"/>
      <c r="E77" s="13"/>
      <c r="F77" s="13"/>
      <c r="G77" s="13"/>
      <c r="H77" s="13"/>
      <c r="I77" s="13"/>
      <c r="J77" s="13"/>
      <c r="K77" s="13"/>
      <c r="O77" s="13"/>
      <c r="P77" s="13"/>
      <c r="Q77" s="13"/>
      <c r="R77" s="13"/>
      <c r="S77" s="13"/>
      <c r="T77" s="13"/>
      <c r="U77" s="13"/>
      <c r="V77" s="34"/>
      <c r="W77" s="13"/>
      <c r="X77" s="13"/>
      <c r="Y77" s="13"/>
      <c r="Z77" s="13"/>
      <c r="AA77" s="13"/>
      <c r="AB77" s="13"/>
      <c r="AC77" s="13"/>
      <c r="AD77" s="13"/>
    </row>
    <row r="78" spans="1:31" x14ac:dyDescent="0.3">
      <c r="I78" s="15"/>
      <c r="J78" s="16"/>
      <c r="K78" s="16"/>
      <c r="V78" s="20"/>
    </row>
    <row r="79" spans="1:31" x14ac:dyDescent="0.3">
      <c r="I79" s="15"/>
      <c r="J79" s="16"/>
      <c r="K79" s="16"/>
      <c r="V79" s="20"/>
    </row>
    <row r="80" spans="1:31" x14ac:dyDescent="0.3">
      <c r="A80" s="3" t="s">
        <v>61</v>
      </c>
      <c r="C80" s="52" t="s">
        <v>1</v>
      </c>
      <c r="D80" s="53"/>
      <c r="E80" s="52" t="s">
        <v>4</v>
      </c>
      <c r="F80" s="53"/>
      <c r="G80" s="52" t="s">
        <v>5</v>
      </c>
      <c r="H80" s="53"/>
      <c r="I80" s="52" t="s">
        <v>2</v>
      </c>
      <c r="J80" s="53"/>
      <c r="K80" s="52" t="s">
        <v>6</v>
      </c>
      <c r="L80" s="53"/>
      <c r="M80" s="52" t="s">
        <v>7</v>
      </c>
      <c r="N80" s="53"/>
      <c r="O80" s="52" t="s">
        <v>8</v>
      </c>
      <c r="P80" s="53"/>
      <c r="Q80" s="52" t="s">
        <v>9</v>
      </c>
      <c r="R80" s="53"/>
      <c r="V80" s="20"/>
    </row>
    <row r="81" spans="1:31" x14ac:dyDescent="0.3">
      <c r="A81" s="4" t="s">
        <v>62</v>
      </c>
      <c r="C81" s="56">
        <f>X47</f>
        <v>0</v>
      </c>
      <c r="D81" s="57"/>
      <c r="E81" s="56">
        <f>Y47</f>
        <v>0</v>
      </c>
      <c r="F81" s="57"/>
      <c r="G81" s="56">
        <f>Z47</f>
        <v>0</v>
      </c>
      <c r="H81" s="57"/>
      <c r="I81" s="56">
        <f>AA47</f>
        <v>0</v>
      </c>
      <c r="J81" s="57"/>
      <c r="K81" s="56">
        <f>AB47</f>
        <v>0</v>
      </c>
      <c r="L81" s="57"/>
      <c r="M81" s="56">
        <f>AC47</f>
        <v>0</v>
      </c>
      <c r="N81" s="57"/>
      <c r="O81" s="56">
        <f>AD47</f>
        <v>0</v>
      </c>
      <c r="P81" s="57"/>
      <c r="Q81" s="56">
        <f>AE47</f>
        <v>0</v>
      </c>
      <c r="R81" s="57"/>
      <c r="V81" s="20"/>
    </row>
    <row r="82" spans="1:31" x14ac:dyDescent="0.3">
      <c r="A82" s="4" t="s">
        <v>50</v>
      </c>
      <c r="C82" s="48" t="e">
        <f>C81-C$9</f>
        <v>#DIV/0!</v>
      </c>
      <c r="D82" s="49"/>
      <c r="E82" s="48" t="e">
        <f t="shared" ref="E82" si="16">E81-E$9</f>
        <v>#DIV/0!</v>
      </c>
      <c r="F82" s="49"/>
      <c r="G82" s="48" t="e">
        <f t="shared" ref="G82" si="17">G81-G$9</f>
        <v>#DIV/0!</v>
      </c>
      <c r="H82" s="49"/>
      <c r="I82" s="48" t="e">
        <f t="shared" ref="I82" si="18">I81-I$9</f>
        <v>#DIV/0!</v>
      </c>
      <c r="J82" s="49"/>
      <c r="K82" s="48" t="e">
        <f t="shared" ref="K82" si="19">K81-K$9</f>
        <v>#DIV/0!</v>
      </c>
      <c r="L82" s="49"/>
      <c r="M82" s="48" t="e">
        <f t="shared" ref="M82" si="20">M81-M$9</f>
        <v>#DIV/0!</v>
      </c>
      <c r="N82" s="49"/>
      <c r="O82" s="48" t="e">
        <f t="shared" ref="O82" si="21">O81-O$9</f>
        <v>#DIV/0!</v>
      </c>
      <c r="P82" s="49"/>
      <c r="Q82" s="48" t="e">
        <f t="shared" ref="Q82" si="22">Q81-Q$9</f>
        <v>#DIV/0!</v>
      </c>
      <c r="R82" s="49"/>
      <c r="V82" s="20"/>
    </row>
    <row r="83" spans="1:31" x14ac:dyDescent="0.3">
      <c r="A83" s="4" t="s">
        <v>63</v>
      </c>
      <c r="C83" s="63" t="e">
        <f>C81/SUM($C81:$Q81)-C8</f>
        <v>#DIV/0!</v>
      </c>
      <c r="D83" s="59"/>
      <c r="E83" s="63" t="e">
        <f t="shared" ref="E83" si="23">E81/SUM($C81:$Q81)-E8</f>
        <v>#DIV/0!</v>
      </c>
      <c r="F83" s="59"/>
      <c r="G83" s="63" t="e">
        <f t="shared" ref="G83" si="24">G81/SUM($C81:$Q81)-G8</f>
        <v>#DIV/0!</v>
      </c>
      <c r="H83" s="59"/>
      <c r="I83" s="63" t="e">
        <f t="shared" ref="I83" si="25">I81/SUM($C81:$Q81)-I8</f>
        <v>#DIV/0!</v>
      </c>
      <c r="J83" s="59"/>
      <c r="K83" s="63" t="e">
        <f t="shared" ref="K83" si="26">K81/SUM($C81:$Q81)-K8</f>
        <v>#DIV/0!</v>
      </c>
      <c r="L83" s="59"/>
      <c r="M83" s="63" t="e">
        <f t="shared" ref="M83" si="27">M81/SUM($C81:$Q81)-M8</f>
        <v>#DIV/0!</v>
      </c>
      <c r="N83" s="59"/>
      <c r="O83" s="63" t="e">
        <f t="shared" ref="O83" si="28">O81/SUM($C81:$Q81)-O8</f>
        <v>#DIV/0!</v>
      </c>
      <c r="P83" s="59"/>
      <c r="Q83" s="63" t="e">
        <f t="shared" ref="Q83" si="29">Q81/SUM($C81:$Q81)-Q8</f>
        <v>#DIV/0!</v>
      </c>
      <c r="R83" s="59"/>
      <c r="V83" s="20"/>
    </row>
    <row r="84" spans="1:31" x14ac:dyDescent="0.3">
      <c r="I84" s="15"/>
      <c r="J84" s="16"/>
      <c r="K84" s="16"/>
      <c r="V84" s="20"/>
    </row>
    <row r="85" spans="1:31" x14ac:dyDescent="0.3">
      <c r="C85" s="14" t="s">
        <v>84</v>
      </c>
      <c r="D85" s="13"/>
      <c r="E85" s="13"/>
      <c r="G85" s="60" t="e">
        <f>SMALL($J$46:$J$53,1)</f>
        <v>#NUM!</v>
      </c>
      <c r="H85" s="61"/>
      <c r="I85" s="62"/>
      <c r="J85" s="14"/>
      <c r="K85" s="14" t="s">
        <v>53</v>
      </c>
      <c r="M85" s="38"/>
      <c r="N85" s="63" t="e">
        <f>G85/SUM($C$9:$R$9)</f>
        <v>#NUM!</v>
      </c>
      <c r="O85" s="67"/>
      <c r="P85" s="59"/>
      <c r="T85" s="14" t="s">
        <v>64</v>
      </c>
      <c r="U85" s="13"/>
      <c r="V85" s="2"/>
      <c r="W85" s="64">
        <v>0</v>
      </c>
      <c r="X85" s="65"/>
      <c r="Y85" s="66"/>
    </row>
    <row r="86" spans="1:31" x14ac:dyDescent="0.3">
      <c r="C86" s="19" t="s">
        <v>52</v>
      </c>
      <c r="D86" s="13"/>
      <c r="E86" s="13"/>
      <c r="G86" s="60" t="e">
        <f>AVERAGE($J$46:$J$53)</f>
        <v>#DIV/0!</v>
      </c>
      <c r="H86" s="61"/>
      <c r="I86" s="62"/>
      <c r="J86" s="14"/>
      <c r="K86" s="37" t="s">
        <v>53</v>
      </c>
      <c r="M86" s="38"/>
      <c r="N86" s="63" t="e">
        <f>G86/SUM($C$9:$R$9)</f>
        <v>#DIV/0!</v>
      </c>
      <c r="O86" s="67"/>
      <c r="P86" s="59"/>
      <c r="T86" s="22" t="s">
        <v>65</v>
      </c>
      <c r="V86" s="2"/>
      <c r="W86" s="2"/>
      <c r="X86" s="2"/>
    </row>
    <row r="87" spans="1:31" x14ac:dyDescent="0.3">
      <c r="I87" s="15"/>
      <c r="J87" s="16"/>
      <c r="K87" s="16"/>
      <c r="V87" s="20"/>
    </row>
    <row r="88" spans="1:31" x14ac:dyDescent="0.3">
      <c r="A88" s="26" t="s">
        <v>66</v>
      </c>
      <c r="I88" s="15"/>
      <c r="J88" s="16"/>
      <c r="K88" s="16"/>
      <c r="P88" s="15"/>
      <c r="Q88" s="16"/>
      <c r="R88" s="16"/>
    </row>
    <row r="89" spans="1:31" x14ac:dyDescent="0.3">
      <c r="B89" s="4" t="s">
        <v>83</v>
      </c>
    </row>
    <row r="90" spans="1:31" s="39" customFormat="1" ht="11.25" x14ac:dyDescent="0.3">
      <c r="B90" s="39">
        <v>1</v>
      </c>
      <c r="C90" s="39">
        <v>2</v>
      </c>
      <c r="D90" s="39">
        <v>3</v>
      </c>
      <c r="E90" s="39">
        <v>4</v>
      </c>
      <c r="F90" s="39">
        <v>5</v>
      </c>
      <c r="G90" s="39">
        <v>6</v>
      </c>
      <c r="H90" s="39">
        <v>7</v>
      </c>
      <c r="I90" s="39">
        <v>8</v>
      </c>
      <c r="J90" s="39">
        <v>9</v>
      </c>
      <c r="K90" s="39">
        <v>10</v>
      </c>
      <c r="L90" s="39">
        <v>11</v>
      </c>
      <c r="M90" s="39">
        <v>12</v>
      </c>
      <c r="N90" s="39">
        <v>13</v>
      </c>
      <c r="O90" s="39">
        <v>14</v>
      </c>
      <c r="P90" s="39">
        <v>15</v>
      </c>
      <c r="Q90" s="39">
        <v>16</v>
      </c>
      <c r="R90" s="39">
        <v>17</v>
      </c>
      <c r="S90" s="39">
        <v>18</v>
      </c>
      <c r="T90" s="39">
        <v>19</v>
      </c>
      <c r="U90" s="39">
        <v>20</v>
      </c>
      <c r="V90" s="39">
        <v>21</v>
      </c>
      <c r="W90" s="39">
        <v>22</v>
      </c>
      <c r="X90" s="39">
        <v>23</v>
      </c>
      <c r="Y90" s="39">
        <v>24</v>
      </c>
      <c r="Z90" s="39">
        <v>25</v>
      </c>
      <c r="AA90" s="39">
        <v>26</v>
      </c>
      <c r="AB90" s="39">
        <v>27</v>
      </c>
      <c r="AC90" s="39">
        <v>28</v>
      </c>
      <c r="AD90" s="39">
        <v>29</v>
      </c>
      <c r="AE90" s="39">
        <v>30</v>
      </c>
    </row>
    <row r="91" spans="1:31" x14ac:dyDescent="0.3">
      <c r="A91" s="11" t="s">
        <v>67</v>
      </c>
      <c r="B91" s="23">
        <f>$I$70/30*B90</f>
        <v>3.3333333333333335</v>
      </c>
      <c r="C91" s="23">
        <f>$I$70/30*C90</f>
        <v>6.666666666666667</v>
      </c>
      <c r="D91" s="23">
        <f t="shared" ref="D91:AE91" si="30">$I$70/30*D90</f>
        <v>10</v>
      </c>
      <c r="E91" s="23">
        <f t="shared" si="30"/>
        <v>13.333333333333334</v>
      </c>
      <c r="F91" s="23">
        <f t="shared" si="30"/>
        <v>16.666666666666668</v>
      </c>
      <c r="G91" s="23">
        <f t="shared" si="30"/>
        <v>20</v>
      </c>
      <c r="H91" s="23">
        <f t="shared" si="30"/>
        <v>23.333333333333336</v>
      </c>
      <c r="I91" s="23">
        <f t="shared" si="30"/>
        <v>26.666666666666668</v>
      </c>
      <c r="J91" s="23">
        <f t="shared" si="30"/>
        <v>30</v>
      </c>
      <c r="K91" s="23">
        <f t="shared" si="30"/>
        <v>33.333333333333336</v>
      </c>
      <c r="L91" s="23">
        <f t="shared" si="30"/>
        <v>36.666666666666671</v>
      </c>
      <c r="M91" s="23">
        <f t="shared" si="30"/>
        <v>40</v>
      </c>
      <c r="N91" s="23">
        <f t="shared" si="30"/>
        <v>43.333333333333336</v>
      </c>
      <c r="O91" s="23">
        <f t="shared" si="30"/>
        <v>46.666666666666671</v>
      </c>
      <c r="P91" s="23">
        <f t="shared" si="30"/>
        <v>50</v>
      </c>
      <c r="Q91" s="23">
        <f t="shared" si="30"/>
        <v>53.333333333333336</v>
      </c>
      <c r="R91" s="23">
        <f t="shared" si="30"/>
        <v>56.666666666666671</v>
      </c>
      <c r="S91" s="23">
        <f t="shared" si="30"/>
        <v>60</v>
      </c>
      <c r="T91" s="23">
        <f t="shared" si="30"/>
        <v>63.333333333333336</v>
      </c>
      <c r="U91" s="23">
        <f t="shared" si="30"/>
        <v>66.666666666666671</v>
      </c>
      <c r="V91" s="23">
        <f t="shared" si="30"/>
        <v>70</v>
      </c>
      <c r="W91" s="23">
        <f t="shared" si="30"/>
        <v>73.333333333333343</v>
      </c>
      <c r="X91" s="23">
        <f t="shared" si="30"/>
        <v>76.666666666666671</v>
      </c>
      <c r="Y91" s="23">
        <f t="shared" si="30"/>
        <v>80</v>
      </c>
      <c r="Z91" s="23">
        <f t="shared" si="30"/>
        <v>83.333333333333343</v>
      </c>
      <c r="AA91" s="23">
        <f t="shared" si="30"/>
        <v>86.666666666666671</v>
      </c>
      <c r="AB91" s="23">
        <f t="shared" si="30"/>
        <v>90</v>
      </c>
      <c r="AC91" s="23">
        <f t="shared" si="30"/>
        <v>93.333333333333343</v>
      </c>
      <c r="AD91" s="23">
        <f t="shared" si="30"/>
        <v>96.666666666666671</v>
      </c>
      <c r="AE91" s="23">
        <f t="shared" si="30"/>
        <v>100</v>
      </c>
    </row>
    <row r="92" spans="1:31" ht="22.5" customHeight="1" x14ac:dyDescent="0.3">
      <c r="A92" s="24" t="s">
        <v>69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</row>
    <row r="93" spans="1:31" ht="22.5" customHeight="1" x14ac:dyDescent="0.3">
      <c r="A93" s="24" t="s">
        <v>68</v>
      </c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</row>
    <row r="94" spans="1:31" ht="14.25" customHeight="1" x14ac:dyDescent="0.3">
      <c r="A94" s="24" t="s">
        <v>33</v>
      </c>
      <c r="B94" s="23" t="e">
        <f>$I$74</f>
        <v>#DIV/0!</v>
      </c>
      <c r="C94" s="23" t="e">
        <f t="shared" ref="C94:AE94" si="31">$I$74</f>
        <v>#DIV/0!</v>
      </c>
      <c r="D94" s="23" t="e">
        <f t="shared" si="31"/>
        <v>#DIV/0!</v>
      </c>
      <c r="E94" s="23" t="e">
        <f t="shared" si="31"/>
        <v>#DIV/0!</v>
      </c>
      <c r="F94" s="23" t="e">
        <f t="shared" si="31"/>
        <v>#DIV/0!</v>
      </c>
      <c r="G94" s="23" t="e">
        <f t="shared" si="31"/>
        <v>#DIV/0!</v>
      </c>
      <c r="H94" s="23" t="e">
        <f t="shared" si="31"/>
        <v>#DIV/0!</v>
      </c>
      <c r="I94" s="23" t="e">
        <f t="shared" si="31"/>
        <v>#DIV/0!</v>
      </c>
      <c r="J94" s="23" t="e">
        <f t="shared" si="31"/>
        <v>#DIV/0!</v>
      </c>
      <c r="K94" s="23" t="e">
        <f t="shared" si="31"/>
        <v>#DIV/0!</v>
      </c>
      <c r="L94" s="23" t="e">
        <f t="shared" si="31"/>
        <v>#DIV/0!</v>
      </c>
      <c r="M94" s="23" t="e">
        <f t="shared" si="31"/>
        <v>#DIV/0!</v>
      </c>
      <c r="N94" s="23" t="e">
        <f t="shared" si="31"/>
        <v>#DIV/0!</v>
      </c>
      <c r="O94" s="23" t="e">
        <f t="shared" si="31"/>
        <v>#DIV/0!</v>
      </c>
      <c r="P94" s="23" t="e">
        <f t="shared" si="31"/>
        <v>#DIV/0!</v>
      </c>
      <c r="Q94" s="23" t="e">
        <f t="shared" si="31"/>
        <v>#DIV/0!</v>
      </c>
      <c r="R94" s="23" t="e">
        <f t="shared" si="31"/>
        <v>#DIV/0!</v>
      </c>
      <c r="S94" s="23" t="e">
        <f t="shared" si="31"/>
        <v>#DIV/0!</v>
      </c>
      <c r="T94" s="23" t="e">
        <f t="shared" si="31"/>
        <v>#DIV/0!</v>
      </c>
      <c r="U94" s="23" t="e">
        <f t="shared" si="31"/>
        <v>#DIV/0!</v>
      </c>
      <c r="V94" s="23" t="e">
        <f t="shared" si="31"/>
        <v>#DIV/0!</v>
      </c>
      <c r="W94" s="23" t="e">
        <f t="shared" si="31"/>
        <v>#DIV/0!</v>
      </c>
      <c r="X94" s="23" t="e">
        <f t="shared" si="31"/>
        <v>#DIV/0!</v>
      </c>
      <c r="Y94" s="23" t="e">
        <f t="shared" si="31"/>
        <v>#DIV/0!</v>
      </c>
      <c r="Z94" s="23" t="e">
        <f t="shared" si="31"/>
        <v>#DIV/0!</v>
      </c>
      <c r="AA94" s="23" t="e">
        <f t="shared" si="31"/>
        <v>#DIV/0!</v>
      </c>
      <c r="AB94" s="23" t="e">
        <f t="shared" si="31"/>
        <v>#DIV/0!</v>
      </c>
      <c r="AC94" s="23" t="e">
        <f t="shared" si="31"/>
        <v>#DIV/0!</v>
      </c>
      <c r="AD94" s="23" t="e">
        <f t="shared" si="31"/>
        <v>#DIV/0!</v>
      </c>
      <c r="AE94" s="23" t="e">
        <f t="shared" si="31"/>
        <v>#DIV/0!</v>
      </c>
    </row>
  </sheetData>
  <mergeCells count="79">
    <mergeCell ref="N85:P85"/>
    <mergeCell ref="N86:P86"/>
    <mergeCell ref="I74:K74"/>
    <mergeCell ref="I76:K76"/>
    <mergeCell ref="Y51:Z51"/>
    <mergeCell ref="Y52:Z52"/>
    <mergeCell ref="M80:N80"/>
    <mergeCell ref="O80:P80"/>
    <mergeCell ref="Q80:R80"/>
    <mergeCell ref="M81:N81"/>
    <mergeCell ref="O81:P81"/>
    <mergeCell ref="Q81:R81"/>
    <mergeCell ref="I70:K70"/>
    <mergeCell ref="I73:K73"/>
    <mergeCell ref="J51:K51"/>
    <mergeCell ref="J52:K52"/>
    <mergeCell ref="AD51:AE51"/>
    <mergeCell ref="AD52:AE52"/>
    <mergeCell ref="G86:I86"/>
    <mergeCell ref="C83:D83"/>
    <mergeCell ref="E83:F83"/>
    <mergeCell ref="G83:H83"/>
    <mergeCell ref="I83:J83"/>
    <mergeCell ref="M82:N82"/>
    <mergeCell ref="O82:P82"/>
    <mergeCell ref="Q82:R82"/>
    <mergeCell ref="G85:I85"/>
    <mergeCell ref="W85:Y85"/>
    <mergeCell ref="K83:L83"/>
    <mergeCell ref="M83:N83"/>
    <mergeCell ref="O83:P83"/>
    <mergeCell ref="Q83:R83"/>
    <mergeCell ref="C82:D82"/>
    <mergeCell ref="E82:F82"/>
    <mergeCell ref="G82:H82"/>
    <mergeCell ref="I82:J82"/>
    <mergeCell ref="K82:L82"/>
    <mergeCell ref="C81:D81"/>
    <mergeCell ref="E81:F81"/>
    <mergeCell ref="G81:H81"/>
    <mergeCell ref="I81:J81"/>
    <mergeCell ref="K81:L81"/>
    <mergeCell ref="C80:D80"/>
    <mergeCell ref="E80:F80"/>
    <mergeCell ref="G80:H80"/>
    <mergeCell ref="I80:J80"/>
    <mergeCell ref="K80:L80"/>
    <mergeCell ref="C9:D9"/>
    <mergeCell ref="E9:F9"/>
    <mergeCell ref="G9:H9"/>
    <mergeCell ref="I9:J9"/>
    <mergeCell ref="K9:L9"/>
    <mergeCell ref="C7:D7"/>
    <mergeCell ref="E7:F7"/>
    <mergeCell ref="G7:H7"/>
    <mergeCell ref="I7:J7"/>
    <mergeCell ref="K7:L7"/>
    <mergeCell ref="C8:D8"/>
    <mergeCell ref="E8:F8"/>
    <mergeCell ref="G8:H8"/>
    <mergeCell ref="I8:J8"/>
    <mergeCell ref="K8:L8"/>
    <mergeCell ref="M7:N7"/>
    <mergeCell ref="O7:P7"/>
    <mergeCell ref="Q7:R7"/>
    <mergeCell ref="M8:N8"/>
    <mergeCell ref="O8:P8"/>
    <mergeCell ref="Q8:R8"/>
    <mergeCell ref="M9:N9"/>
    <mergeCell ref="O9:P9"/>
    <mergeCell ref="Q9:R9"/>
    <mergeCell ref="J49:K49"/>
    <mergeCell ref="J50:K50"/>
    <mergeCell ref="J53:K53"/>
    <mergeCell ref="C11:D11"/>
    <mergeCell ref="I13:J13"/>
    <mergeCell ref="J46:K46"/>
    <mergeCell ref="J47:K47"/>
    <mergeCell ref="J48:K48"/>
  </mergeCells>
  <phoneticPr fontId="1"/>
  <pageMargins left="0.19685039370078741" right="0" top="0.19685039370078741" bottom="0" header="0.31496062992125984" footer="0.31496062992125984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_xludf.Clear">
                <anchor moveWithCells="1">
                  <from>
                    <xdr:col>26</xdr:col>
                    <xdr:colOff>123825</xdr:colOff>
                    <xdr:row>0</xdr:row>
                    <xdr:rowOff>133350</xdr:rowOff>
                  </from>
                  <to>
                    <xdr:col>30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Prop">
                <anchor moveWithCells="1">
                  <from>
                    <xdr:col>26</xdr:col>
                    <xdr:colOff>190500</xdr:colOff>
                    <xdr:row>5</xdr:row>
                    <xdr:rowOff>142875</xdr:rowOff>
                  </from>
                  <to>
                    <xdr:col>30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atio">
                <anchor moveWithCells="1">
                  <from>
                    <xdr:col>26</xdr:col>
                    <xdr:colOff>190500</xdr:colOff>
                    <xdr:row>7</xdr:row>
                    <xdr:rowOff>142875</xdr:rowOff>
                  </from>
                  <to>
                    <xdr:col>30</xdr:col>
                    <xdr:colOff>9525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Mask">
                <anchor moveWithCells="1">
                  <from>
                    <xdr:col>10</xdr:col>
                    <xdr:colOff>228600</xdr:colOff>
                    <xdr:row>11</xdr:row>
                    <xdr:rowOff>152400</xdr:rowOff>
                  </from>
                  <to>
                    <xdr:col>14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autoFill="0" autoPict="0" macro="[0]!InitSet">
                <anchor moveWithCells="1">
                  <from>
                    <xdr:col>4</xdr:col>
                    <xdr:colOff>171450</xdr:colOff>
                    <xdr:row>19</xdr:row>
                    <xdr:rowOff>161925</xdr:rowOff>
                  </from>
                  <to>
                    <xdr:col>8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autoFill="0" autoPict="0" macro="[0]!Eval">
                <anchor moveWithCells="1">
                  <from>
                    <xdr:col>15</xdr:col>
                    <xdr:colOff>209550</xdr:colOff>
                    <xdr:row>44</xdr:row>
                    <xdr:rowOff>142875</xdr:rowOff>
                  </from>
                  <to>
                    <xdr:col>19</xdr:col>
                    <xdr:colOff>66675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autoFill="0" autoPict="0" macro="[0]!Cross">
                <anchor moveWithCells="1">
                  <from>
                    <xdr:col>15</xdr:col>
                    <xdr:colOff>228600</xdr:colOff>
                    <xdr:row>50</xdr:row>
                    <xdr:rowOff>142875</xdr:rowOff>
                  </from>
                  <to>
                    <xdr:col>19</xdr:col>
                    <xdr:colOff>9525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autoFill="0" autoPict="0" macro="[0]!Mutation">
                <anchor moveWithCells="1">
                  <from>
                    <xdr:col>14</xdr:col>
                    <xdr:colOff>104775</xdr:colOff>
                    <xdr:row>47</xdr:row>
                    <xdr:rowOff>133350</xdr:rowOff>
                  </from>
                  <to>
                    <xdr:col>17</xdr:col>
                    <xdr:colOff>152400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_xludf.Execute">
                <anchor moveWithCells="1">
                  <from>
                    <xdr:col>16</xdr:col>
                    <xdr:colOff>114300</xdr:colOff>
                    <xdr:row>73</xdr:row>
                    <xdr:rowOff>152400</xdr:rowOff>
                  </from>
                  <to>
                    <xdr:col>20</xdr:col>
                    <xdr:colOff>114300</xdr:colOff>
                    <xdr:row>75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재산분배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paparang</cp:lastModifiedBy>
  <cp:lastPrinted>2015-07-19T10:37:21Z</cp:lastPrinted>
  <dcterms:created xsi:type="dcterms:W3CDTF">2015-03-28T06:14:13Z</dcterms:created>
  <dcterms:modified xsi:type="dcterms:W3CDTF">2017-05-24T03:09:53Z</dcterms:modified>
</cp:coreProperties>
</file>